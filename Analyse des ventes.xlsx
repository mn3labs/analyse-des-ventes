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na echemmakh\Documents\Data analyste\"/>
    </mc:Choice>
  </mc:AlternateContent>
  <xr:revisionPtr revIDLastSave="0" documentId="13_ncr:1_{AEA29ED6-293A-40A3-8892-D257B22D2B7E}" xr6:coauthVersionLast="47" xr6:coauthVersionMax="47" xr10:uidLastSave="{00000000-0000-0000-0000-000000000000}"/>
  <bookViews>
    <workbookView xWindow="-108" yWindow="-108" windowWidth="23256" windowHeight="12456" xr2:uid="{5ED1AA9B-0B5C-4459-9903-9EFAA19BC440}"/>
  </bookViews>
  <sheets>
    <sheet name="Dashboard" sheetId="7" r:id="rId1"/>
    <sheet name="Ventes" sheetId="1" r:id="rId2"/>
    <sheet name="Guid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7" l="1"/>
  <c r="J6" i="7"/>
  <c r="T31" i="7"/>
  <c r="T30" i="7"/>
  <c r="T29" i="7"/>
  <c r="T28" i="7"/>
  <c r="T25" i="7"/>
  <c r="T24" i="7"/>
  <c r="T23" i="7"/>
  <c r="T20" i="7"/>
  <c r="T19" i="7"/>
  <c r="T18" i="7"/>
  <c r="T17" i="7"/>
  <c r="T16" i="7"/>
  <c r="T13" i="7"/>
  <c r="T12" i="7"/>
  <c r="T11" i="7"/>
  <c r="T10" i="7"/>
  <c r="T9" i="7"/>
  <c r="T5" i="7"/>
  <c r="T4" i="7"/>
  <c r="T3" i="7"/>
  <c r="T2" i="7"/>
  <c r="N6" i="7"/>
  <c r="F6" i="7"/>
</calcChain>
</file>

<file path=xl/sharedStrings.xml><?xml version="1.0" encoding="utf-8"?>
<sst xmlns="http://schemas.openxmlformats.org/spreadsheetml/2006/main" count="1667" uniqueCount="408">
  <si>
    <t>Date</t>
  </si>
  <si>
    <t>ID Commande</t>
  </si>
  <si>
    <t>Vendeur</t>
  </si>
  <si>
    <t>Région</t>
  </si>
  <si>
    <t>Catégorie</t>
  </si>
  <si>
    <t>Produit</t>
  </si>
  <si>
    <t>Quantité</t>
  </si>
  <si>
    <t>Prix Unitaire (€)</t>
  </si>
  <si>
    <t>CA (€)</t>
  </si>
  <si>
    <t>Remise (%)</t>
  </si>
  <si>
    <t>Marge (%)</t>
  </si>
  <si>
    <t>Statut</t>
  </si>
  <si>
    <t>Canal de Vente</t>
  </si>
  <si>
    <t>19/01/2023</t>
  </si>
  <si>
    <t>CMD-0001</t>
  </si>
  <si>
    <t>Camille Dubois</t>
  </si>
  <si>
    <t>Île-de-France</t>
  </si>
  <si>
    <t>Téléphonie</t>
  </si>
  <si>
    <t>Smartphone X12</t>
  </si>
  <si>
    <t>Livré</t>
  </si>
  <si>
    <t>E-commerce</t>
  </si>
  <si>
    <t>22/10/2023</t>
  </si>
  <si>
    <t>CMD-0002</t>
  </si>
  <si>
    <t>Alice Martin</t>
  </si>
  <si>
    <t>Informatique</t>
  </si>
  <si>
    <t>Laptop Pro 15</t>
  </si>
  <si>
    <t>CMD-0003</t>
  </si>
  <si>
    <t>CMD-0004</t>
  </si>
  <si>
    <t>Auvergne-Rhône-Alpes</t>
  </si>
  <si>
    <t>Tablette HD</t>
  </si>
  <si>
    <t>Boutique</t>
  </si>
  <si>
    <t>25/11/2023</t>
  </si>
  <si>
    <t>CMD-0005</t>
  </si>
  <si>
    <t>Smartphone Y8</t>
  </si>
  <si>
    <t>CMD-0006</t>
  </si>
  <si>
    <t>Bruno Lefèvre</t>
  </si>
  <si>
    <t>Laptop Air 13</t>
  </si>
  <si>
    <t>CMD-0007</t>
  </si>
  <si>
    <t>31/07/2023</t>
  </si>
  <si>
    <t>CMD-0008</t>
  </si>
  <si>
    <t>En cours</t>
  </si>
  <si>
    <t>CMD-0009</t>
  </si>
  <si>
    <t>CMD-0010</t>
  </si>
  <si>
    <t>CMD-0011</t>
  </si>
  <si>
    <t>25/05/2023</t>
  </si>
  <si>
    <t>CMD-0012</t>
  </si>
  <si>
    <t>Nouvelle-Aquitaine</t>
  </si>
  <si>
    <t>CMD-0013</t>
  </si>
  <si>
    <t>Annulé</t>
  </si>
  <si>
    <t>21/06/2023</t>
  </si>
  <si>
    <t>CMD-0014</t>
  </si>
  <si>
    <t>CMD-0015</t>
  </si>
  <si>
    <t>CMD-0016</t>
  </si>
  <si>
    <t>Écouteurs Sans Fil</t>
  </si>
  <si>
    <t>CMD-0017</t>
  </si>
  <si>
    <t>CMD-0018</t>
  </si>
  <si>
    <t>18/01/2023</t>
  </si>
  <si>
    <t>CMD-0019</t>
  </si>
  <si>
    <t>20/02/2023</t>
  </si>
  <si>
    <t>CMD-0020</t>
  </si>
  <si>
    <t>21/10/2023</t>
  </si>
  <si>
    <t>CMD-0021</t>
  </si>
  <si>
    <t>27/10/2023</t>
  </si>
  <si>
    <t>CMD-0022</t>
  </si>
  <si>
    <t>CMD-0023</t>
  </si>
  <si>
    <t>19/07/2023</t>
  </si>
  <si>
    <t>CMD-0024</t>
  </si>
  <si>
    <t>CMD-0025</t>
  </si>
  <si>
    <t>28/03/2023</t>
  </si>
  <si>
    <t>CMD-0026</t>
  </si>
  <si>
    <t>CMD-0027</t>
  </si>
  <si>
    <t>CMD-0028</t>
  </si>
  <si>
    <t>23/10/2023</t>
  </si>
  <si>
    <t>CMD-0029</t>
  </si>
  <si>
    <t>CMD-0030</t>
  </si>
  <si>
    <t>24/11/2023</t>
  </si>
  <si>
    <t>CMD-0031</t>
  </si>
  <si>
    <t>CMD-0032</t>
  </si>
  <si>
    <t>15/11/2023</t>
  </si>
  <si>
    <t>CMD-0033</t>
  </si>
  <si>
    <t>CMD-0034</t>
  </si>
  <si>
    <t>25/06/2023</t>
  </si>
  <si>
    <t>CMD-0035</t>
  </si>
  <si>
    <t>CMD-0036</t>
  </si>
  <si>
    <t>CMD-0037</t>
  </si>
  <si>
    <t>17/09/2023</t>
  </si>
  <si>
    <t>CMD-0038</t>
  </si>
  <si>
    <t>CMD-0039</t>
  </si>
  <si>
    <t>29/11/2023</t>
  </si>
  <si>
    <t>CMD-0040</t>
  </si>
  <si>
    <t>CMD-0041</t>
  </si>
  <si>
    <t>29/10/2023</t>
  </si>
  <si>
    <t>CMD-0042</t>
  </si>
  <si>
    <t>CMD-0043</t>
  </si>
  <si>
    <t>20/08/2023</t>
  </si>
  <si>
    <t>CMD-0044</t>
  </si>
  <si>
    <t>15/12/2023</t>
  </si>
  <si>
    <t>CMD-0045</t>
  </si>
  <si>
    <t>CMD-0046</t>
  </si>
  <si>
    <t>CMD-0047</t>
  </si>
  <si>
    <t>30/11/2023</t>
  </si>
  <si>
    <t>CMD-0048</t>
  </si>
  <si>
    <t>CMD-0049</t>
  </si>
  <si>
    <t>21/07/2023</t>
  </si>
  <si>
    <t>CMD-0050</t>
  </si>
  <si>
    <t>21/02/2023</t>
  </si>
  <si>
    <t>CMD-0051</t>
  </si>
  <si>
    <t>25/03/2023</t>
  </si>
  <si>
    <t>CMD-0052</t>
  </si>
  <si>
    <t>27/05/2023</t>
  </si>
  <si>
    <t>CMD-0053</t>
  </si>
  <si>
    <t>CMD-0054</t>
  </si>
  <si>
    <t>27/11/2023</t>
  </si>
  <si>
    <t>CMD-0055</t>
  </si>
  <si>
    <t>13/09/2023</t>
  </si>
  <si>
    <t>CMD-0056</t>
  </si>
  <si>
    <t>16/04/2023</t>
  </si>
  <si>
    <t>CMD-0057</t>
  </si>
  <si>
    <t>15/10/2023</t>
  </si>
  <si>
    <t>CMD-0058</t>
  </si>
  <si>
    <t>24/03/2023</t>
  </si>
  <si>
    <t>CMD-0059</t>
  </si>
  <si>
    <t>15/06/2023</t>
  </si>
  <si>
    <t>CMD-0060</t>
  </si>
  <si>
    <t>CMD-0061</t>
  </si>
  <si>
    <t>CMD-0062</t>
  </si>
  <si>
    <t>CMD-0063</t>
  </si>
  <si>
    <t>25/02/2023</t>
  </si>
  <si>
    <t>CMD-0064</t>
  </si>
  <si>
    <t>CMD-0065</t>
  </si>
  <si>
    <t>26/04/2023</t>
  </si>
  <si>
    <t>CMD-0066</t>
  </si>
  <si>
    <t>CMD-0067</t>
  </si>
  <si>
    <t>CMD-0068</t>
  </si>
  <si>
    <t>29/07/2023</t>
  </si>
  <si>
    <t>CMD-0069</t>
  </si>
  <si>
    <t>CMD-0070</t>
  </si>
  <si>
    <t>23/09/2023</t>
  </si>
  <si>
    <t>CMD-0071</t>
  </si>
  <si>
    <t>CMD-0072</t>
  </si>
  <si>
    <t>18/11/2023</t>
  </si>
  <si>
    <t>CMD-0073</t>
  </si>
  <si>
    <t>19/06/2023</t>
  </si>
  <si>
    <t>CMD-0074</t>
  </si>
  <si>
    <t>27/07/2023</t>
  </si>
  <si>
    <t>CMD-0075</t>
  </si>
  <si>
    <t>22/01/2023</t>
  </si>
  <si>
    <t>CMD-0076</t>
  </si>
  <si>
    <t>CMD-0077</t>
  </si>
  <si>
    <t>30/07/2023</t>
  </si>
  <si>
    <t>CMD-0078</t>
  </si>
  <si>
    <t>31/01/2023</t>
  </si>
  <si>
    <t>CMD-0079</t>
  </si>
  <si>
    <t>CMD-0080</t>
  </si>
  <si>
    <t>CMD-0081</t>
  </si>
  <si>
    <t>23/03/2023</t>
  </si>
  <si>
    <t>CMD-0082</t>
  </si>
  <si>
    <t>15/01/2023</t>
  </si>
  <si>
    <t>CMD-0083</t>
  </si>
  <si>
    <t>15/04/2023</t>
  </si>
  <si>
    <t>CMD-0084</t>
  </si>
  <si>
    <t>14/08/2023</t>
  </si>
  <si>
    <t>CMD-0085</t>
  </si>
  <si>
    <t>CMD-0086</t>
  </si>
  <si>
    <t>CMD-0087</t>
  </si>
  <si>
    <t>24/02/2023</t>
  </si>
  <si>
    <t>CMD-0088</t>
  </si>
  <si>
    <t>CMD-0089</t>
  </si>
  <si>
    <t>CMD-0090</t>
  </si>
  <si>
    <t>14/07/2023</t>
  </si>
  <si>
    <t>CMD-0091</t>
  </si>
  <si>
    <t>CMD-0092</t>
  </si>
  <si>
    <t>CMD-0093</t>
  </si>
  <si>
    <t>CMD-0094</t>
  </si>
  <si>
    <t>CMD-0095</t>
  </si>
  <si>
    <t>CMD-0096</t>
  </si>
  <si>
    <t>15/07/2023</t>
  </si>
  <si>
    <t>CMD-0097</t>
  </si>
  <si>
    <t>CMD-0098</t>
  </si>
  <si>
    <t>CMD-0099</t>
  </si>
  <si>
    <t>CMD-0100</t>
  </si>
  <si>
    <t>CMD-0101</t>
  </si>
  <si>
    <t>CMD-0102</t>
  </si>
  <si>
    <t>CMD-0103</t>
  </si>
  <si>
    <t>28/01/2023</t>
  </si>
  <si>
    <t>CMD-0104</t>
  </si>
  <si>
    <t>CMD-0105</t>
  </si>
  <si>
    <t>CMD-0106</t>
  </si>
  <si>
    <t>17/11/2023</t>
  </si>
  <si>
    <t>CMD-0107</t>
  </si>
  <si>
    <t>26/09/2023</t>
  </si>
  <si>
    <t>CMD-0108</t>
  </si>
  <si>
    <t>16/06/2023</t>
  </si>
  <si>
    <t>CMD-0109</t>
  </si>
  <si>
    <t>CMD-0110</t>
  </si>
  <si>
    <t>CMD-0111</t>
  </si>
  <si>
    <t>27/04/2023</t>
  </si>
  <si>
    <t>CMD-0112</t>
  </si>
  <si>
    <t>28/12/2023</t>
  </si>
  <si>
    <t>CMD-0113</t>
  </si>
  <si>
    <t>CMD-0114</t>
  </si>
  <si>
    <t>CMD-0115</t>
  </si>
  <si>
    <t>24/05/2023</t>
  </si>
  <si>
    <t>CMD-0116</t>
  </si>
  <si>
    <t>22/05/2023</t>
  </si>
  <si>
    <t>CMD-0117</t>
  </si>
  <si>
    <t>17/02/2023</t>
  </si>
  <si>
    <t>CMD-0118</t>
  </si>
  <si>
    <t>17/04/2023</t>
  </si>
  <si>
    <t>CMD-0119</t>
  </si>
  <si>
    <t>CMD-0120</t>
  </si>
  <si>
    <t>26/03/2023</t>
  </si>
  <si>
    <t>CMD-0121</t>
  </si>
  <si>
    <t>30/10/2023</t>
  </si>
  <si>
    <t>CMD-0122</t>
  </si>
  <si>
    <t>16/11/2023</t>
  </si>
  <si>
    <t>CMD-0123</t>
  </si>
  <si>
    <t>CMD-0124</t>
  </si>
  <si>
    <t>26/11/2023</t>
  </si>
  <si>
    <t>CMD-0125</t>
  </si>
  <si>
    <t>CMD-0126</t>
  </si>
  <si>
    <t>CMD-0127</t>
  </si>
  <si>
    <t>CMD-0128</t>
  </si>
  <si>
    <t>CMD-0129</t>
  </si>
  <si>
    <t>23/07/2023</t>
  </si>
  <si>
    <t>CMD-0130</t>
  </si>
  <si>
    <t>CMD-0131</t>
  </si>
  <si>
    <t>16/05/2023</t>
  </si>
  <si>
    <t>CMD-0132</t>
  </si>
  <si>
    <t>CMD-0133</t>
  </si>
  <si>
    <t>CMD-0134</t>
  </si>
  <si>
    <t>18/07/2023</t>
  </si>
  <si>
    <t>CMD-0135</t>
  </si>
  <si>
    <t>CMD-0136</t>
  </si>
  <si>
    <t>CMD-0137</t>
  </si>
  <si>
    <t>CMD-0138</t>
  </si>
  <si>
    <t>CMD-0139</t>
  </si>
  <si>
    <t>CMD-0140</t>
  </si>
  <si>
    <t>19/09/2023</t>
  </si>
  <si>
    <t>CMD-0141</t>
  </si>
  <si>
    <t>CMD-0142</t>
  </si>
  <si>
    <t>CMD-0143</t>
  </si>
  <si>
    <t>13/03/2023</t>
  </si>
  <si>
    <t>CMD-0144</t>
  </si>
  <si>
    <t>CMD-0145</t>
  </si>
  <si>
    <t>19/04/2023</t>
  </si>
  <si>
    <t>CMD-0146</t>
  </si>
  <si>
    <t>20/01/2023</t>
  </si>
  <si>
    <t>CMD-0147</t>
  </si>
  <si>
    <t>CMD-0148</t>
  </si>
  <si>
    <t>13/04/2023</t>
  </si>
  <si>
    <t>CMD-0149</t>
  </si>
  <si>
    <t>CMD-0150</t>
  </si>
  <si>
    <t>CMD-0151</t>
  </si>
  <si>
    <t>CMD-0152</t>
  </si>
  <si>
    <t>CMD-0153</t>
  </si>
  <si>
    <t>CMD-0154</t>
  </si>
  <si>
    <t>24/09/2023</t>
  </si>
  <si>
    <t>CMD-0155</t>
  </si>
  <si>
    <t>21/09/2023</t>
  </si>
  <si>
    <t>CMD-0156</t>
  </si>
  <si>
    <t>17/12/2023</t>
  </si>
  <si>
    <t>CMD-0157</t>
  </si>
  <si>
    <t>CMD-0158</t>
  </si>
  <si>
    <t>29/05/2023</t>
  </si>
  <si>
    <t>CMD-0159</t>
  </si>
  <si>
    <t>CMD-0160</t>
  </si>
  <si>
    <t>16/03/2023</t>
  </si>
  <si>
    <t>CMD-0161</t>
  </si>
  <si>
    <t>25/10/2023</t>
  </si>
  <si>
    <t>CMD-0162</t>
  </si>
  <si>
    <t>27/06/2023</t>
  </si>
  <si>
    <t>CMD-0163</t>
  </si>
  <si>
    <t>CMD-0164</t>
  </si>
  <si>
    <t>13/11/2023</t>
  </si>
  <si>
    <t>CMD-0165</t>
  </si>
  <si>
    <t>18/04/2023</t>
  </si>
  <si>
    <t>CMD-0166</t>
  </si>
  <si>
    <t>16/12/2023</t>
  </si>
  <si>
    <t>CMD-0167</t>
  </si>
  <si>
    <t>CMD-0168</t>
  </si>
  <si>
    <t>CMD-0169</t>
  </si>
  <si>
    <t>CMD-0170</t>
  </si>
  <si>
    <t>CMD-0171</t>
  </si>
  <si>
    <t>17/05/2023</t>
  </si>
  <si>
    <t>CMD-0172</t>
  </si>
  <si>
    <t>CMD-0173</t>
  </si>
  <si>
    <t>CMD-0174</t>
  </si>
  <si>
    <t>CMD-0175</t>
  </si>
  <si>
    <t>28/04/2023</t>
  </si>
  <si>
    <t>CMD-0176</t>
  </si>
  <si>
    <t>CMD-0177</t>
  </si>
  <si>
    <t>CMD-0178</t>
  </si>
  <si>
    <t>17/01/2023</t>
  </si>
  <si>
    <t>CMD-0179</t>
  </si>
  <si>
    <t>CMD-0180</t>
  </si>
  <si>
    <t>CMD-0181</t>
  </si>
  <si>
    <t>20/03/2023</t>
  </si>
  <si>
    <t>CMD-0182</t>
  </si>
  <si>
    <t>CMD-0183</t>
  </si>
  <si>
    <t>CMD-0184</t>
  </si>
  <si>
    <t>18/06/2023</t>
  </si>
  <si>
    <t>CMD-0185</t>
  </si>
  <si>
    <t>CMD-0186</t>
  </si>
  <si>
    <t>13/08/2023</t>
  </si>
  <si>
    <t>CMD-0187</t>
  </si>
  <si>
    <t>24/01/2023</t>
  </si>
  <si>
    <t>CMD-0188</t>
  </si>
  <si>
    <t>CMD-0189</t>
  </si>
  <si>
    <t>28/10/2023</t>
  </si>
  <si>
    <t>CMD-0190</t>
  </si>
  <si>
    <t>CMD-0191</t>
  </si>
  <si>
    <t>19/10/2023</t>
  </si>
  <si>
    <t>CMD-0192</t>
  </si>
  <si>
    <t>30/12/2023</t>
  </si>
  <si>
    <t>CMD-0193</t>
  </si>
  <si>
    <t>CMD-0194</t>
  </si>
  <si>
    <t>CMD-0195</t>
  </si>
  <si>
    <t>CMD-0196</t>
  </si>
  <si>
    <t>CMD-0197</t>
  </si>
  <si>
    <t>21/08/2023</t>
  </si>
  <si>
    <t>CMD-0198</t>
  </si>
  <si>
    <t>20/11/2023</t>
  </si>
  <si>
    <t>CMD-0199</t>
  </si>
  <si>
    <t>24/08/2023</t>
  </si>
  <si>
    <t>CMD-0200</t>
  </si>
  <si>
    <t>🗂️ BASE DE DONNÉES — GUIDE D'UTILISATION</t>
  </si>
  <si>
    <t>📋 STRUCTURE DE LA BASE</t>
  </si>
  <si>
    <t>Colonne</t>
  </si>
  <si>
    <t>Type</t>
  </si>
  <si>
    <t>Description</t>
  </si>
  <si>
    <t>Texte (JJ/MM/AAAA)</t>
  </si>
  <si>
    <t>Date de la commande</t>
  </si>
  <si>
    <t>Texte</t>
  </si>
  <si>
    <t>Identifiant unique CMD-XXXX</t>
  </si>
  <si>
    <t>Nom du commercial</t>
  </si>
  <si>
    <t>Région de vente (France)</t>
  </si>
  <si>
    <t>Catégorie de produit</t>
  </si>
  <si>
    <t>Nom du produit</t>
  </si>
  <si>
    <t>Entier</t>
  </si>
  <si>
    <t>Nombre d'unités vendues</t>
  </si>
  <si>
    <t>Décimal</t>
  </si>
  <si>
    <t>Prix catalogue unitaire</t>
  </si>
  <si>
    <t>Chiffre d'affaires (après remise)</t>
  </si>
  <si>
    <t>Remise appliquée (0, 5, 10, 15, 20%)</t>
  </si>
  <si>
    <t>Taux de marge brute</t>
  </si>
  <si>
    <t>Livré / En cours / Annulé</t>
  </si>
  <si>
    <t>E-commerce / Boutique / Téléphone / Revendeur</t>
  </si>
  <si>
    <t>💡 IDÉES DE TABLEAUX DE BORD</t>
  </si>
  <si>
    <t>Analyse</t>
  </si>
  <si>
    <t>Mesure</t>
  </si>
  <si>
    <t>Dimension</t>
  </si>
  <si>
    <t>CA par mois</t>
  </si>
  <si>
    <t>SOMME(CA)</t>
  </si>
  <si>
    <t>Date → Mois</t>
  </si>
  <si>
    <t>CA par région</t>
  </si>
  <si>
    <t>Performance vendeurs</t>
  </si>
  <si>
    <t>SOMME(CA) / NB commandes</t>
  </si>
  <si>
    <t>Top produits</t>
  </si>
  <si>
    <t>SOMME(Quantité) / SOMME(CA)</t>
  </si>
  <si>
    <t>Répartition par canal</t>
  </si>
  <si>
    <t>NB commandes / %</t>
  </si>
  <si>
    <t>Évolution marge</t>
  </si>
  <si>
    <t>MOYENNE(Marge)</t>
  </si>
  <si>
    <t>Date → Trimestre</t>
  </si>
  <si>
    <t>Taux d'annulation</t>
  </si>
  <si>
    <t>NB(Annulé)/Total</t>
  </si>
  <si>
    <t>Remise vs Marge</t>
  </si>
  <si>
    <t>Corrélation</t>
  </si>
  <si>
    <t>Remise / Marge</t>
  </si>
  <si>
    <t>sur 200 transactions</t>
  </si>
  <si>
    <t>TAUX D'ANNULATION</t>
  </si>
  <si>
    <t xml:space="preserve">  PERFORMANCE DES VENDEURS</t>
  </si>
  <si>
    <t>TABLEAU DE BORD  —  ANALYSE DES VENTES  2023-2024</t>
  </si>
  <si>
    <t>Accessoires</t>
  </si>
  <si>
    <t>Logiciels</t>
  </si>
  <si>
    <t>David Moreau</t>
  </si>
  <si>
    <t>Emma Bernard</t>
  </si>
  <si>
    <t>Occitanie</t>
  </si>
  <si>
    <t>Bretagne</t>
  </si>
  <si>
    <t>Nb</t>
  </si>
  <si>
    <t>200 transactions  |  5 vendeurs  |  4 catégories  |  5 régions</t>
  </si>
  <si>
    <t>CA TOTAL LIVRÉ</t>
  </si>
  <si>
    <t>COMMANDES LIVRÉES</t>
  </si>
  <si>
    <t>MARGE MOYENNE (%)</t>
  </si>
  <si>
    <t xml:space="preserve">  CA PAR CATÉGORIE</t>
  </si>
  <si>
    <t xml:space="preserve">  CA PAR RÉGION</t>
  </si>
  <si>
    <t xml:space="preserve">  RÉPARTITION : STATUT &amp; CANAL</t>
  </si>
  <si>
    <t>Canal</t>
  </si>
  <si>
    <t>Téléphone</t>
  </si>
  <si>
    <t>Revendeur</t>
  </si>
  <si>
    <t xml:space="preserve">  📅  ÉVOLUTION DU CA MENSUEL</t>
  </si>
  <si>
    <t xml:space="preserve">  🛒  CA PAR CANAL DE VENTE</t>
  </si>
  <si>
    <t>Mois</t>
  </si>
  <si>
    <t>CA 2023 (€)</t>
  </si>
  <si>
    <t>Jan</t>
  </si>
  <si>
    <t>Fév</t>
  </si>
  <si>
    <t>Mar</t>
  </si>
  <si>
    <t>Avr</t>
  </si>
  <si>
    <t>Mai</t>
  </si>
  <si>
    <t>Jun</t>
  </si>
  <si>
    <t>Jul</t>
  </si>
  <si>
    <t>Aoû</t>
  </si>
  <si>
    <t>Sep</t>
  </si>
  <si>
    <t>Oct</t>
  </si>
  <si>
    <t>Nov</t>
  </si>
  <si>
    <t>Déc</t>
  </si>
  <si>
    <t>CA Cumulé 2023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</si>
</sst>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\€"/>
    <numFmt numFmtId="165" formatCode="0&quot;%&quot;"/>
    <numFmt numFmtId="166" formatCode="0.0&quot;%&quot;"/>
    <numFmt numFmtId="168" formatCode="#,##0\ &quot;€&quot;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2E4057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rgb="FFE6EDF3"/>
      <name val="Aptos Narrow"/>
      <family val="2"/>
      <scheme val="minor"/>
    </font>
    <font>
      <b/>
      <sz val="16"/>
      <color rgb="FFE6EDF3"/>
      <name val="Aptos Narrow"/>
      <family val="2"/>
      <scheme val="minor"/>
    </font>
    <font>
      <b/>
      <sz val="9"/>
      <color rgb="FFE6EDF3"/>
      <name val="Aptos Narrow"/>
      <family val="2"/>
      <scheme val="minor"/>
    </font>
    <font>
      <b/>
      <sz val="11"/>
      <color rgb="FFE6EDF3"/>
      <name val="Aptos Narrow"/>
      <family val="2"/>
      <scheme val="minor"/>
    </font>
    <font>
      <sz val="9"/>
      <color rgb="FFE6EDF3"/>
      <name val="Aptos Narrow"/>
      <family val="2"/>
      <scheme val="minor"/>
    </font>
    <font>
      <sz val="8"/>
      <color rgb="FFE6EDF3"/>
      <name val="Aptos Narrow"/>
      <family val="2"/>
      <scheme val="minor"/>
    </font>
    <font>
      <b/>
      <sz val="10"/>
      <color rgb="FFE6EDF3"/>
      <name val="Aptos Narrow"/>
      <family val="2"/>
      <scheme val="minor"/>
    </font>
    <font>
      <b/>
      <sz val="22"/>
      <color rgb="FF39FF14"/>
      <name val="Aptos Narrow"/>
      <family val="2"/>
      <scheme val="minor"/>
    </font>
    <font>
      <b/>
      <sz val="22"/>
      <color rgb="FF00F5FF"/>
      <name val="Aptos Narrow"/>
      <family val="2"/>
      <scheme val="minor"/>
    </font>
    <font>
      <b/>
      <sz val="22"/>
      <color rgb="FFBF5FFF"/>
      <name val="Aptos Narrow"/>
      <family val="2"/>
      <scheme val="minor"/>
    </font>
    <font>
      <b/>
      <sz val="22"/>
      <color rgb="FFFF2D78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39FF14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F5FF"/>
      <name val="Aptos Narrow"/>
      <family val="2"/>
      <scheme val="minor"/>
    </font>
    <font>
      <sz val="11"/>
      <color rgb="FFBF5FFF"/>
      <name val="Aptos Narrow"/>
      <family val="2"/>
      <scheme val="minor"/>
    </font>
    <font>
      <sz val="11"/>
      <color rgb="FFFF2D7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00F5FF"/>
        <bgColor indexed="64"/>
      </patternFill>
    </fill>
    <fill>
      <patternFill patternType="solid">
        <fgColor rgb="FF161B22"/>
        <bgColor indexed="64"/>
      </patternFill>
    </fill>
    <fill>
      <patternFill patternType="solid">
        <fgColor rgb="FF39FF14"/>
        <bgColor indexed="64"/>
      </patternFill>
    </fill>
    <fill>
      <patternFill patternType="solid">
        <fgColor rgb="FFBF5FFF"/>
        <bgColor indexed="64"/>
      </patternFill>
    </fill>
    <fill>
      <patternFill patternType="solid">
        <fgColor rgb="FFFF2D78"/>
        <bgColor indexed="64"/>
      </patternFill>
    </fill>
    <fill>
      <patternFill patternType="solid">
        <fgColor rgb="FF00111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2E6DA4"/>
      </bottom>
      <diagonal/>
    </border>
    <border>
      <left/>
      <right/>
      <top/>
      <bottom style="thin">
        <color rgb="FFBCC9D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 applyAlignment="1">
      <alignment horizontal="center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49" fontId="0" fillId="3" borderId="0" xfId="0" applyNumberFormat="1" applyFill="1"/>
    <xf numFmtId="0" fontId="0" fillId="3" borderId="0" xfId="0" applyFill="1"/>
    <xf numFmtId="1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1" fillId="4" borderId="0" xfId="0" applyFont="1" applyFill="1"/>
    <xf numFmtId="0" fontId="0" fillId="5" borderId="0" xfId="0" applyFill="1"/>
    <xf numFmtId="0" fontId="5" fillId="7" borderId="0" xfId="0" applyFont="1" applyFill="1" applyBorder="1"/>
    <xf numFmtId="0" fontId="7" fillId="9" borderId="0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center"/>
    </xf>
    <xf numFmtId="0" fontId="5" fillId="11" borderId="0" xfId="0" applyFont="1" applyFill="1"/>
    <xf numFmtId="0" fontId="5" fillId="11" borderId="0" xfId="0" applyFont="1" applyFill="1" applyBorder="1"/>
    <xf numFmtId="0" fontId="7" fillId="11" borderId="0" xfId="0" applyFont="1" applyFill="1"/>
    <xf numFmtId="0" fontId="8" fillId="11" borderId="0" xfId="0" applyFont="1" applyFill="1"/>
    <xf numFmtId="0" fontId="5" fillId="11" borderId="1" xfId="0" applyFont="1" applyFill="1" applyBorder="1"/>
    <xf numFmtId="3" fontId="5" fillId="11" borderId="0" xfId="0" applyNumberFormat="1" applyFont="1" applyFill="1"/>
    <xf numFmtId="0" fontId="5" fillId="11" borderId="0" xfId="0" applyFont="1" applyFill="1" applyBorder="1"/>
    <xf numFmtId="168" fontId="12" fillId="11" borderId="0" xfId="0" applyNumberFormat="1" applyFont="1" applyFill="1" applyBorder="1" applyAlignment="1">
      <alignment horizontal="center"/>
    </xf>
    <xf numFmtId="3" fontId="13" fillId="11" borderId="0" xfId="0" applyNumberFormat="1" applyFont="1" applyFill="1" applyBorder="1" applyAlignment="1">
      <alignment horizontal="center"/>
    </xf>
    <xf numFmtId="166" fontId="14" fillId="11" borderId="0" xfId="0" applyNumberFormat="1" applyFont="1" applyFill="1" applyBorder="1" applyAlignment="1">
      <alignment horizontal="center"/>
    </xf>
    <xf numFmtId="166" fontId="15" fillId="11" borderId="0" xfId="0" applyNumberFormat="1" applyFont="1" applyFill="1" applyBorder="1" applyAlignment="1">
      <alignment horizontal="center"/>
    </xf>
    <xf numFmtId="0" fontId="5" fillId="11" borderId="2" xfId="0" applyFont="1" applyFill="1" applyBorder="1"/>
    <xf numFmtId="0" fontId="5" fillId="11" borderId="2" xfId="0" applyFont="1" applyFill="1" applyBorder="1"/>
    <xf numFmtId="0" fontId="5" fillId="11" borderId="0" xfId="0" applyFont="1" applyFill="1"/>
    <xf numFmtId="0" fontId="6" fillId="11" borderId="0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1" fillId="11" borderId="0" xfId="0" applyFont="1" applyFill="1"/>
    <xf numFmtId="0" fontId="5" fillId="8" borderId="0" xfId="0" applyFont="1" applyFill="1" applyBorder="1"/>
    <xf numFmtId="0" fontId="17" fillId="8" borderId="0" xfId="0" applyFont="1" applyFill="1" applyBorder="1" applyAlignment="1">
      <alignment horizontal="center"/>
    </xf>
    <xf numFmtId="0" fontId="18" fillId="11" borderId="0" xfId="0" applyFont="1" applyFill="1" applyBorder="1"/>
    <xf numFmtId="0" fontId="16" fillId="6" borderId="0" xfId="0" applyFont="1" applyFill="1" applyBorder="1" applyAlignment="1">
      <alignment horizontal="center"/>
    </xf>
    <xf numFmtId="0" fontId="19" fillId="6" borderId="0" xfId="0" applyFont="1" applyFill="1" applyBorder="1"/>
    <xf numFmtId="0" fontId="20" fillId="11" borderId="0" xfId="0" applyFont="1" applyFill="1" applyBorder="1"/>
    <xf numFmtId="0" fontId="5" fillId="9" borderId="0" xfId="0" applyFont="1" applyFill="1" applyBorder="1"/>
    <xf numFmtId="0" fontId="21" fillId="11" borderId="0" xfId="0" applyFont="1" applyFill="1" applyBorder="1"/>
    <xf numFmtId="0" fontId="5" fillId="10" borderId="0" xfId="0" applyFont="1" applyFill="1" applyBorder="1"/>
    <xf numFmtId="0" fontId="22" fillId="11" borderId="0" xfId="0" applyFont="1" applyFill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2E4057"/>
        </patternFill>
      </fill>
      <alignment horizontal="center" vertical="bottom" textRotation="0" wrapText="0" indent="0" justifyLastLine="0" shrinkToFit="0" readingOrder="0"/>
    </dxf>
    <dxf>
      <numFmt numFmtId="166" formatCode="0.0&quot;%&quot;"/>
    </dxf>
    <dxf>
      <numFmt numFmtId="165" formatCode="0&quot;%&quot;"/>
    </dxf>
    <dxf>
      <numFmt numFmtId="164" formatCode="#,##0.00\ \€"/>
    </dxf>
    <dxf>
      <numFmt numFmtId="164" formatCode="#,##0.00\ \€"/>
    </dxf>
    <dxf>
      <numFmt numFmtId="1" formatCode="0"/>
    </dxf>
    <dxf>
      <numFmt numFmtId="30" formatCode="@"/>
    </dxf>
  </dxfs>
  <tableStyles count="0" defaultTableStyle="TableStyleMedium2" defaultPivotStyle="PivotStyleLight16"/>
  <colors>
    <mruColors>
      <color rgb="FFFF2D78"/>
      <color rgb="FFBF5FFF"/>
      <color rgb="FF00F5FF"/>
      <color rgb="FF39FF14"/>
      <color rgb="FF161B22"/>
      <color rgb="FF001117"/>
      <color rgb="FFE6ED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4472FE-100B-4184-AE67-79864569AF85}" name="TableVentes" displayName="TableVentes" ref="A1:M201" totalsRowShown="0" headerRowDxfId="0">
  <autoFilter ref="A1:M201" xr:uid="{434472FE-100B-4184-AE67-79864569AF85}"/>
  <tableColumns count="13">
    <tableColumn id="1" xr3:uid="{FA5A9265-FBC4-4E49-8EF8-F42467D50328}" name="Date" dataDxfId="6"/>
    <tableColumn id="2" xr3:uid="{9601B635-6AC0-464A-93C0-C9C94053D564}" name="ID Commande"/>
    <tableColumn id="3" xr3:uid="{08A44862-081B-4333-B15D-E4135ECFC728}" name="Vendeur"/>
    <tableColumn id="4" xr3:uid="{050FE295-C199-4B33-8D1A-1F59407B482A}" name="Région"/>
    <tableColumn id="5" xr3:uid="{83B8CA2D-91B0-4499-AE30-23651872DBCC}" name="Catégorie"/>
    <tableColumn id="6" xr3:uid="{7CCB600D-34E9-4D23-887A-207B88DFA64F}" name="Produit"/>
    <tableColumn id="7" xr3:uid="{1D815DF6-786D-4CCA-B767-FFC418D5AD4E}" name="Quantité" dataDxfId="5"/>
    <tableColumn id="8" xr3:uid="{199075D8-11F0-44C6-9376-DB87C168EE84}" name="Prix Unitaire (€)" dataDxfId="4"/>
    <tableColumn id="9" xr3:uid="{410E7DEA-0BA2-4A53-BE96-7B9B58C6C324}" name="CA (€)" dataDxfId="3"/>
    <tableColumn id="10" xr3:uid="{F7703614-AA58-4CA4-A9AE-79B66898562B}" name="Remise (%)" dataDxfId="2"/>
    <tableColumn id="11" xr3:uid="{4F1D079F-5427-4856-B257-483B620FE234}" name="Marge (%)" dataDxfId="1"/>
    <tableColumn id="12" xr3:uid="{1CA2E501-0669-4F22-BCBD-392CFDE1337B}" name="Statut"/>
    <tableColumn id="13" xr3:uid="{7274E7D6-E1A1-4D49-B79F-1A1C12E352EE}" name="Canal de V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97D954-B5E2-4D58-94FF-C821C5B8050E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4706-607C-4E93-93C9-4682F40462F4}">
  <sheetPr>
    <tabColor rgb="FF00F5FF"/>
  </sheetPr>
  <dimension ref="B1:X64"/>
  <sheetViews>
    <sheetView tabSelected="1" workbookViewId="0">
      <pane ySplit="11" topLeftCell="A21" activePane="bottomLeft" state="frozen"/>
      <selection pane="bottomLeft" activeCell="J7" sqref="J7:L7"/>
    </sheetView>
  </sheetViews>
  <sheetFormatPr baseColWidth="10" defaultRowHeight="14.4" x14ac:dyDescent="0.3"/>
  <cols>
    <col min="1" max="1" width="1.109375" style="21" customWidth="1"/>
    <col min="2" max="4" width="13.33203125" style="21" customWidth="1"/>
    <col min="5" max="5" width="1.88671875" style="21" customWidth="1"/>
    <col min="6" max="7" width="13.33203125" style="21" customWidth="1"/>
    <col min="8" max="9" width="1.88671875" style="21" customWidth="1"/>
    <col min="10" max="12" width="13.33203125" style="21" customWidth="1"/>
    <col min="13" max="13" width="1.88671875" style="21" customWidth="1"/>
    <col min="14" max="16" width="13.33203125" style="21" customWidth="1"/>
    <col min="17" max="17" width="1.109375" style="21" customWidth="1"/>
    <col min="18" max="18" width="1.88671875" style="21" customWidth="1"/>
    <col min="19" max="20" width="25.88671875" style="21" customWidth="1"/>
    <col min="21" max="21" width="11.5546875" style="21"/>
    <col min="22" max="24" width="18.5546875" style="21" customWidth="1"/>
    <col min="25" max="16384" width="11.5546875" style="21"/>
  </cols>
  <sheetData>
    <row r="1" spans="2:24" ht="48" customHeight="1" x14ac:dyDescent="0.4">
      <c r="B1" s="35" t="s">
        <v>373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S1" s="23" t="s">
        <v>4</v>
      </c>
      <c r="T1" s="23" t="s">
        <v>8</v>
      </c>
      <c r="V1" s="24" t="s">
        <v>393</v>
      </c>
      <c r="W1" s="24" t="s">
        <v>394</v>
      </c>
      <c r="X1" s="24" t="s">
        <v>407</v>
      </c>
    </row>
    <row r="2" spans="2:24" ht="19.95" customHeight="1" x14ac:dyDescent="0.3">
      <c r="B2" s="36" t="s">
        <v>381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S2" s="21" t="s">
        <v>24</v>
      </c>
      <c r="T2" s="26">
        <f>SUMIF(Ventes!E$2:E$201,"Informatique",Ventes!I$2:I$201)</f>
        <v>298630.89999999997</v>
      </c>
      <c r="V2" s="21" t="s">
        <v>395</v>
      </c>
      <c r="W2" s="21">
        <v>48824</v>
      </c>
      <c r="X2" s="21">
        <v>48824</v>
      </c>
    </row>
    <row r="3" spans="2:24" ht="3" customHeight="1" x14ac:dyDescent="0.3">
      <c r="S3" s="21" t="s">
        <v>17</v>
      </c>
      <c r="T3" s="26">
        <f>SUMIF(Ventes!E$2:E$201,"Téléphonie",Ventes!I$2:I$201)</f>
        <v>151093.69999999995</v>
      </c>
      <c r="V3" s="21" t="s">
        <v>396</v>
      </c>
      <c r="W3" s="21">
        <v>26931</v>
      </c>
      <c r="X3" s="21">
        <v>75755</v>
      </c>
    </row>
    <row r="4" spans="2:24" ht="11.4" customHeight="1" x14ac:dyDescent="0.3">
      <c r="B4" s="18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S4" s="21" t="s">
        <v>374</v>
      </c>
      <c r="T4" s="26">
        <f>SUMIF(Ventes!E$2:E$201,"Accessoires",Ventes!I$2:I$201)</f>
        <v>0</v>
      </c>
      <c r="V4" s="21" t="s">
        <v>397</v>
      </c>
      <c r="W4" s="21">
        <v>26719</v>
      </c>
      <c r="X4" s="21">
        <v>102474</v>
      </c>
    </row>
    <row r="5" spans="2:24" ht="22.05" customHeight="1" x14ac:dyDescent="0.3">
      <c r="B5" s="40" t="s">
        <v>382</v>
      </c>
      <c r="C5" s="39"/>
      <c r="D5" s="39"/>
      <c r="E5" s="27"/>
      <c r="F5" s="42" t="s">
        <v>383</v>
      </c>
      <c r="G5" s="43"/>
      <c r="H5" s="43"/>
      <c r="I5" s="27"/>
      <c r="J5" s="19" t="s">
        <v>384</v>
      </c>
      <c r="K5" s="45"/>
      <c r="L5" s="45"/>
      <c r="M5" s="27"/>
      <c r="N5" s="20" t="s">
        <v>371</v>
      </c>
      <c r="O5" s="47"/>
      <c r="P5" s="47"/>
      <c r="S5" s="21" t="s">
        <v>375</v>
      </c>
      <c r="T5" s="26">
        <f>SUMIF(Ventes!E$2:E$201,"Logiciels",Ventes!I$2:I$201)</f>
        <v>0</v>
      </c>
      <c r="V5" s="21" t="s">
        <v>398</v>
      </c>
      <c r="W5" s="21">
        <v>41781</v>
      </c>
      <c r="X5" s="21">
        <v>144255</v>
      </c>
    </row>
    <row r="6" spans="2:24" ht="28.8" x14ac:dyDescent="0.55000000000000004">
      <c r="B6" s="28">
        <f>SUMIF(Ventes!L2:L201,"Livré",Ventes!I2:I201)</f>
        <v>322336.30000000005</v>
      </c>
      <c r="C6" s="41"/>
      <c r="D6" s="41"/>
      <c r="E6" s="27"/>
      <c r="F6" s="29">
        <f>COUNTIF(Ventes!L2:L201,"Livré")</f>
        <v>145</v>
      </c>
      <c r="G6" s="44"/>
      <c r="H6" s="44"/>
      <c r="I6" s="27"/>
      <c r="J6" s="30">
        <f>AVERAGEIF(Ventes!L2:L201,"Livré",Ventes!K2:K201)</f>
        <v>30.2</v>
      </c>
      <c r="K6" s="46"/>
      <c r="L6" s="46"/>
      <c r="M6" s="27"/>
      <c r="N6" s="31">
        <f>COUNTIF(Ventes!L2:L201,"Annulé")/COUNTA(Ventes!B2:B201)*100</f>
        <v>13.5</v>
      </c>
      <c r="O6" s="48"/>
      <c r="P6" s="48"/>
      <c r="T6" s="26"/>
      <c r="V6" s="21" t="s">
        <v>399</v>
      </c>
      <c r="W6" s="21">
        <v>42511</v>
      </c>
      <c r="X6" s="21">
        <v>186766</v>
      </c>
    </row>
    <row r="7" spans="2:24" x14ac:dyDescent="0.3">
      <c r="B7" s="22"/>
      <c r="C7" s="22"/>
      <c r="D7" s="22"/>
      <c r="E7" s="27"/>
      <c r="F7" s="22"/>
      <c r="G7" s="22"/>
      <c r="H7" s="22"/>
      <c r="I7" s="27"/>
      <c r="J7" s="22"/>
      <c r="K7" s="22"/>
      <c r="L7" s="22"/>
      <c r="M7" s="27"/>
      <c r="N7" s="22"/>
      <c r="O7" s="22"/>
      <c r="P7" s="22"/>
      <c r="V7" s="21" t="s">
        <v>400</v>
      </c>
      <c r="W7" s="21">
        <v>42919</v>
      </c>
      <c r="X7" s="21">
        <v>229685</v>
      </c>
    </row>
    <row r="8" spans="2:24" x14ac:dyDescent="0.3">
      <c r="B8" s="22"/>
      <c r="C8" s="22"/>
      <c r="D8" s="22"/>
      <c r="E8" s="27"/>
      <c r="F8" s="22"/>
      <c r="G8" s="22"/>
      <c r="H8" s="22"/>
      <c r="I8" s="27"/>
      <c r="J8" s="22"/>
      <c r="K8" s="22"/>
      <c r="L8" s="22"/>
      <c r="M8" s="27"/>
      <c r="N8" s="22"/>
      <c r="O8" s="22"/>
      <c r="P8" s="22"/>
      <c r="S8" s="23" t="s">
        <v>2</v>
      </c>
      <c r="T8" s="23" t="s">
        <v>8</v>
      </c>
      <c r="V8" s="21" t="s">
        <v>401</v>
      </c>
      <c r="W8" s="21">
        <v>54399</v>
      </c>
      <c r="X8" s="21">
        <v>284084</v>
      </c>
    </row>
    <row r="9" spans="2:24" ht="18" customHeight="1" x14ac:dyDescent="0.3">
      <c r="B9" s="37" t="s">
        <v>370</v>
      </c>
      <c r="C9" s="32"/>
      <c r="D9" s="32"/>
      <c r="E9" s="33"/>
      <c r="F9" s="37" t="s">
        <v>370</v>
      </c>
      <c r="G9" s="32"/>
      <c r="H9" s="32"/>
      <c r="I9" s="33"/>
      <c r="J9" s="37" t="s">
        <v>370</v>
      </c>
      <c r="K9" s="32"/>
      <c r="L9" s="32"/>
      <c r="M9" s="33"/>
      <c r="N9" s="37" t="s">
        <v>370</v>
      </c>
      <c r="O9" s="32"/>
      <c r="P9" s="32"/>
      <c r="S9" s="21" t="s">
        <v>23</v>
      </c>
      <c r="T9" s="26">
        <f>SUMIF(Ventes!C$2:C$201,"Alice Martin",Ventes!I$2:I$201)</f>
        <v>171973.64999999997</v>
      </c>
      <c r="V9" s="21" t="s">
        <v>402</v>
      </c>
      <c r="W9" s="21">
        <v>34120</v>
      </c>
      <c r="X9" s="21">
        <v>318204</v>
      </c>
    </row>
    <row r="10" spans="2:24" ht="15.6" customHeight="1" x14ac:dyDescent="0.3">
      <c r="S10" s="21" t="s">
        <v>35</v>
      </c>
      <c r="T10" s="26">
        <f>SUMIF(Ventes!C$2:C$201,"Bruno Lefèvre",Ventes!I$2:I$201)</f>
        <v>195732.05000000002</v>
      </c>
      <c r="V10" s="21" t="s">
        <v>403</v>
      </c>
      <c r="W10" s="21">
        <v>32751</v>
      </c>
      <c r="X10" s="21">
        <v>350955</v>
      </c>
    </row>
    <row r="11" spans="2:24" ht="25.95" customHeight="1" x14ac:dyDescent="0.3">
      <c r="B11" s="38" t="s">
        <v>385</v>
      </c>
      <c r="C11" s="34"/>
      <c r="D11" s="34"/>
      <c r="E11" s="34"/>
      <c r="F11" s="34"/>
      <c r="G11" s="34"/>
      <c r="I11" s="38" t="s">
        <v>372</v>
      </c>
      <c r="J11" s="34"/>
      <c r="K11" s="34"/>
      <c r="L11" s="34"/>
      <c r="M11" s="34"/>
      <c r="N11" s="34"/>
      <c r="O11" s="34"/>
      <c r="P11" s="34"/>
      <c r="Q11" s="34"/>
      <c r="S11" s="21" t="s">
        <v>15</v>
      </c>
      <c r="T11" s="26">
        <f>SUMIF(Ventes!C$2:C$201,"Camille Dubois",Ventes!I$2:I$201)</f>
        <v>82018.900000000009</v>
      </c>
      <c r="V11" s="21" t="s">
        <v>404</v>
      </c>
      <c r="W11" s="21">
        <v>39154</v>
      </c>
      <c r="X11" s="21">
        <v>390109</v>
      </c>
    </row>
    <row r="12" spans="2:24" ht="13.05" customHeight="1" x14ac:dyDescent="0.3">
      <c r="S12" s="21" t="s">
        <v>376</v>
      </c>
      <c r="T12" s="26">
        <f>SUMIF(Ventes!C$2:C$201,"David Moreau",Ventes!I$2:I$201)</f>
        <v>0</v>
      </c>
      <c r="V12" s="21" t="s">
        <v>405</v>
      </c>
      <c r="W12" s="21">
        <v>35137</v>
      </c>
      <c r="X12" s="21">
        <v>425246</v>
      </c>
    </row>
    <row r="13" spans="2:24" ht="13.05" customHeight="1" x14ac:dyDescent="0.3">
      <c r="S13" s="21" t="s">
        <v>377</v>
      </c>
      <c r="T13" s="26">
        <f>SUMIF(Ventes!C$2:C$201,"Emma Bernard",Ventes!I$2:I$201)</f>
        <v>0</v>
      </c>
      <c r="V13" s="21" t="s">
        <v>406</v>
      </c>
      <c r="W13" s="21">
        <v>24477</v>
      </c>
      <c r="X13" s="21">
        <v>449723</v>
      </c>
    </row>
    <row r="14" spans="2:24" ht="13.05" customHeight="1" x14ac:dyDescent="0.3">
      <c r="T14" s="26"/>
    </row>
    <row r="15" spans="2:24" ht="13.05" customHeight="1" x14ac:dyDescent="0.3">
      <c r="S15" s="23" t="s">
        <v>3</v>
      </c>
      <c r="T15" s="23" t="s">
        <v>8</v>
      </c>
      <c r="V15" s="24" t="s">
        <v>388</v>
      </c>
      <c r="W15" s="24" t="s">
        <v>8</v>
      </c>
    </row>
    <row r="16" spans="2:24" ht="13.05" customHeight="1" x14ac:dyDescent="0.3">
      <c r="S16" s="21" t="s">
        <v>16</v>
      </c>
      <c r="T16" s="26">
        <f>SUMIF(Ventes!D$2:D$201,"Île-de-France",Ventes!I$2:I$201)</f>
        <v>184438.10000000003</v>
      </c>
      <c r="V16" s="21" t="s">
        <v>20</v>
      </c>
      <c r="W16" s="21">
        <v>211556</v>
      </c>
    </row>
    <row r="17" spans="2:23" ht="13.05" customHeight="1" x14ac:dyDescent="0.3">
      <c r="S17" s="21" t="s">
        <v>28</v>
      </c>
      <c r="T17" s="26">
        <f>SUMIF(Ventes!D$2:D$201,"Auvergne-Rhône-Alpes",Ventes!I$2:I$201)</f>
        <v>176913.1</v>
      </c>
      <c r="V17" s="21" t="s">
        <v>30</v>
      </c>
      <c r="W17" s="21">
        <v>238169</v>
      </c>
    </row>
    <row r="18" spans="2:23" ht="13.05" customHeight="1" x14ac:dyDescent="0.3">
      <c r="S18" s="21" t="s">
        <v>46</v>
      </c>
      <c r="T18" s="26">
        <f>SUMIF(Ventes!D$2:D$201,"Nouvelle-Aquitaine",Ventes!I$2:I$201)</f>
        <v>88373.4</v>
      </c>
    </row>
    <row r="19" spans="2:23" ht="13.05" customHeight="1" x14ac:dyDescent="0.3">
      <c r="S19" s="21" t="s">
        <v>378</v>
      </c>
      <c r="T19" s="26">
        <f>SUMIF(Ventes!D$2:D$201,"Occitanie",Ventes!I$2:I$201)</f>
        <v>0</v>
      </c>
    </row>
    <row r="20" spans="2:23" ht="13.05" customHeight="1" x14ac:dyDescent="0.3">
      <c r="S20" s="21" t="s">
        <v>379</v>
      </c>
      <c r="T20" s="26">
        <f>SUMIF(Ventes!D$2:D$201,"Bretagne",Ventes!I$2:I$201)</f>
        <v>0</v>
      </c>
    </row>
    <row r="21" spans="2:23" ht="13.05" customHeight="1" x14ac:dyDescent="0.3">
      <c r="T21" s="26"/>
    </row>
    <row r="22" spans="2:23" ht="13.05" customHeight="1" x14ac:dyDescent="0.3">
      <c r="S22" s="23" t="s">
        <v>11</v>
      </c>
      <c r="T22" s="23" t="s">
        <v>380</v>
      </c>
    </row>
    <row r="23" spans="2:23" ht="13.05" customHeight="1" x14ac:dyDescent="0.3">
      <c r="S23" s="21" t="s">
        <v>19</v>
      </c>
      <c r="T23" s="21">
        <f>COUNTIF(Ventes!L$2:L$201,"Livré")</f>
        <v>145</v>
      </c>
    </row>
    <row r="24" spans="2:23" ht="13.05" customHeight="1" x14ac:dyDescent="0.3">
      <c r="S24" s="21" t="s">
        <v>40</v>
      </c>
      <c r="T24" s="21">
        <f>COUNTIF(Ventes!L$2:L$201,"En cours")</f>
        <v>28</v>
      </c>
    </row>
    <row r="25" spans="2:23" ht="13.05" customHeight="1" x14ac:dyDescent="0.3">
      <c r="S25" s="21" t="s">
        <v>48</v>
      </c>
      <c r="T25" s="21">
        <f>COUNTIF(Ventes!L$2:L$201,"Annulé")</f>
        <v>27</v>
      </c>
    </row>
    <row r="26" spans="2:23" ht="10.050000000000001" customHeight="1" x14ac:dyDescent="0.3"/>
    <row r="27" spans="2:23" ht="25.95" customHeight="1" x14ac:dyDescent="0.3">
      <c r="B27" s="38" t="s">
        <v>386</v>
      </c>
      <c r="C27" s="34"/>
      <c r="D27" s="34"/>
      <c r="E27" s="34"/>
      <c r="F27" s="34"/>
      <c r="G27" s="34"/>
      <c r="I27" s="38" t="s">
        <v>387</v>
      </c>
      <c r="J27" s="34"/>
      <c r="K27" s="34"/>
      <c r="L27" s="34"/>
      <c r="M27" s="34"/>
      <c r="N27" s="34"/>
      <c r="O27" s="34"/>
      <c r="P27" s="34"/>
      <c r="Q27" s="34"/>
      <c r="S27" s="23" t="s">
        <v>388</v>
      </c>
      <c r="T27" s="23" t="s">
        <v>8</v>
      </c>
    </row>
    <row r="28" spans="2:23" ht="13.05" customHeight="1" x14ac:dyDescent="0.3">
      <c r="S28" s="21" t="s">
        <v>20</v>
      </c>
      <c r="T28" s="26">
        <f>SUMIF(Ventes!M$2:M$201,"E-commerce",Ventes!I$2:I$201)</f>
        <v>211555.85</v>
      </c>
    </row>
    <row r="29" spans="2:23" ht="13.05" customHeight="1" x14ac:dyDescent="0.3">
      <c r="S29" s="21" t="s">
        <v>30</v>
      </c>
      <c r="T29" s="26">
        <f>SUMIF(Ventes!M$2:M$201,"Boutique",Ventes!I$2:I$201)</f>
        <v>238168.75000000003</v>
      </c>
    </row>
    <row r="30" spans="2:23" ht="13.05" customHeight="1" x14ac:dyDescent="0.3">
      <c r="S30" s="21" t="s">
        <v>389</v>
      </c>
      <c r="T30" s="26">
        <f>SUMIF(Ventes!M$2:M$201,"Téléphone",Ventes!I$2:I$201)</f>
        <v>0</v>
      </c>
    </row>
    <row r="31" spans="2:23" ht="13.05" customHeight="1" x14ac:dyDescent="0.3">
      <c r="S31" s="21" t="s">
        <v>390</v>
      </c>
      <c r="T31" s="26">
        <f>SUMIF(Ventes!M$2:M$201,"Revendeur",Ventes!I$2:I$201)</f>
        <v>0</v>
      </c>
    </row>
    <row r="32" spans="2:23" ht="13.05" customHeight="1" x14ac:dyDescent="0.3">
      <c r="T32" s="26"/>
    </row>
    <row r="33" spans="2:17" ht="13.05" customHeight="1" x14ac:dyDescent="0.3"/>
    <row r="34" spans="2:17" ht="13.05" customHeight="1" x14ac:dyDescent="0.3"/>
    <row r="35" spans="2:17" ht="13.05" customHeight="1" x14ac:dyDescent="0.3"/>
    <row r="36" spans="2:17" ht="13.05" customHeight="1" x14ac:dyDescent="0.3"/>
    <row r="37" spans="2:17" ht="13.05" customHeight="1" x14ac:dyDescent="0.3"/>
    <row r="38" spans="2:17" ht="13.05" customHeight="1" x14ac:dyDescent="0.3"/>
    <row r="39" spans="2:17" ht="13.05" customHeight="1" x14ac:dyDescent="0.3"/>
    <row r="40" spans="2:17" ht="13.05" customHeight="1" x14ac:dyDescent="0.3"/>
    <row r="41" spans="2:17" ht="13.05" customHeight="1" x14ac:dyDescent="0.3"/>
    <row r="42" spans="2:17" ht="13.05" customHeight="1" x14ac:dyDescent="0.3"/>
    <row r="43" spans="2:17" ht="13.05" customHeight="1" x14ac:dyDescent="0.3"/>
    <row r="44" spans="2:17" ht="13.05" customHeight="1" x14ac:dyDescent="0.3"/>
    <row r="45" spans="2:17" ht="10.050000000000001" customHeight="1" x14ac:dyDescent="0.3"/>
    <row r="46" spans="2:17" ht="25.95" customHeight="1" x14ac:dyDescent="0.3">
      <c r="B46" s="38" t="s">
        <v>391</v>
      </c>
      <c r="C46" s="34"/>
      <c r="D46" s="34"/>
      <c r="E46" s="34"/>
      <c r="F46" s="34"/>
      <c r="G46" s="34"/>
      <c r="I46" s="38" t="s">
        <v>392</v>
      </c>
      <c r="J46" s="34"/>
      <c r="K46" s="34"/>
      <c r="L46" s="34"/>
      <c r="M46" s="34"/>
      <c r="N46" s="34"/>
      <c r="O46" s="34"/>
      <c r="P46" s="34"/>
      <c r="Q46" s="34"/>
    </row>
    <row r="47" spans="2:17" ht="13.05" customHeight="1" x14ac:dyDescent="0.3"/>
    <row r="48" spans="2:17" ht="13.05" customHeight="1" x14ac:dyDescent="0.3"/>
    <row r="49" ht="13.05" customHeight="1" x14ac:dyDescent="0.3"/>
    <row r="50" ht="13.05" customHeight="1" x14ac:dyDescent="0.3"/>
    <row r="51" ht="13.05" customHeight="1" x14ac:dyDescent="0.3"/>
    <row r="52" ht="13.05" customHeight="1" x14ac:dyDescent="0.3"/>
    <row r="53" ht="13.05" customHeight="1" x14ac:dyDescent="0.3"/>
    <row r="54" ht="13.05" customHeight="1" x14ac:dyDescent="0.3"/>
    <row r="55" ht="13.05" customHeight="1" x14ac:dyDescent="0.3"/>
    <row r="56" ht="13.05" customHeight="1" x14ac:dyDescent="0.3"/>
    <row r="57" ht="13.05" customHeight="1" x14ac:dyDescent="0.3"/>
    <row r="58" ht="13.05" customHeight="1" x14ac:dyDescent="0.3"/>
    <row r="59" ht="13.05" customHeight="1" x14ac:dyDescent="0.3"/>
    <row r="60" ht="13.05" customHeight="1" x14ac:dyDescent="0.3"/>
    <row r="61" ht="13.05" customHeight="1" x14ac:dyDescent="0.3"/>
    <row r="62" ht="13.05" customHeight="1" x14ac:dyDescent="0.3"/>
    <row r="63" ht="13.05" customHeight="1" x14ac:dyDescent="0.3"/>
    <row r="64" ht="4.05" customHeight="1" x14ac:dyDescent="0.3"/>
  </sheetData>
  <mergeCells count="28">
    <mergeCell ref="B11:G11"/>
    <mergeCell ref="I11:Q11"/>
    <mergeCell ref="B27:G27"/>
    <mergeCell ref="I27:Q27"/>
    <mergeCell ref="B46:G46"/>
    <mergeCell ref="I46:Q46"/>
    <mergeCell ref="J9:L9"/>
    <mergeCell ref="N5:P5"/>
    <mergeCell ref="N6:P6"/>
    <mergeCell ref="N7:P7"/>
    <mergeCell ref="N8:P8"/>
    <mergeCell ref="N9:P9"/>
    <mergeCell ref="B9:D9"/>
    <mergeCell ref="F5:H5"/>
    <mergeCell ref="F6:H6"/>
    <mergeCell ref="F7:H7"/>
    <mergeCell ref="F8:H8"/>
    <mergeCell ref="F9:H9"/>
    <mergeCell ref="B1:P1"/>
    <mergeCell ref="B2:P2"/>
    <mergeCell ref="B5:D5"/>
    <mergeCell ref="B6:D6"/>
    <mergeCell ref="B7:D7"/>
    <mergeCell ref="B8:D8"/>
    <mergeCell ref="J5:L5"/>
    <mergeCell ref="J6:L6"/>
    <mergeCell ref="J7:L7"/>
    <mergeCell ref="J8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00C9-DF9A-4104-BC4F-14C819CE3A34}">
  <dimension ref="A1:M201"/>
  <sheetViews>
    <sheetView workbookViewId="0">
      <pane ySplit="1" topLeftCell="A2" activePane="bottomLeft" state="frozen"/>
      <selection pane="bottomLeft" activeCell="A3" sqref="A3"/>
    </sheetView>
  </sheetViews>
  <sheetFormatPr baseColWidth="10" defaultRowHeight="14.4" x14ac:dyDescent="0.3"/>
  <cols>
    <col min="1" max="1" width="10.33203125" bestFit="1" customWidth="1"/>
    <col min="2" max="2" width="14.6640625" customWidth="1"/>
    <col min="3" max="3" width="13" bestFit="1" customWidth="1"/>
    <col min="4" max="4" width="19.44140625" bestFit="1" customWidth="1"/>
    <col min="5" max="5" width="11.21875" bestFit="1" customWidth="1"/>
    <col min="6" max="6" width="15.5546875" bestFit="1" customWidth="1"/>
    <col min="7" max="7" width="10.109375" customWidth="1"/>
    <col min="8" max="8" width="15.77734375" customWidth="1"/>
    <col min="9" max="9" width="9.21875" bestFit="1" customWidth="1"/>
    <col min="10" max="10" width="12.33203125" customWidth="1"/>
    <col min="11" max="11" width="11.109375" customWidth="1"/>
    <col min="12" max="12" width="8" customWidth="1"/>
    <col min="13" max="13" width="15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7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9">
        <v>5</v>
      </c>
      <c r="H2" s="10">
        <v>799</v>
      </c>
      <c r="I2" s="10">
        <v>3995</v>
      </c>
      <c r="J2" s="11">
        <v>0</v>
      </c>
      <c r="K2" s="12">
        <v>32.5</v>
      </c>
      <c r="L2" s="8" t="s">
        <v>19</v>
      </c>
      <c r="M2" s="8" t="s">
        <v>20</v>
      </c>
    </row>
    <row r="3" spans="1:13" x14ac:dyDescent="0.3">
      <c r="A3" s="2" t="s">
        <v>21</v>
      </c>
      <c r="B3" t="s">
        <v>22</v>
      </c>
      <c r="C3" t="s">
        <v>23</v>
      </c>
      <c r="D3" t="s">
        <v>16</v>
      </c>
      <c r="E3" t="s">
        <v>24</v>
      </c>
      <c r="F3" t="s">
        <v>25</v>
      </c>
      <c r="G3" s="6">
        <v>5</v>
      </c>
      <c r="H3" s="3">
        <v>1299</v>
      </c>
      <c r="I3" s="3">
        <v>6495</v>
      </c>
      <c r="J3" s="4">
        <v>0</v>
      </c>
      <c r="K3" s="5">
        <v>27.8</v>
      </c>
      <c r="L3" t="s">
        <v>19</v>
      </c>
      <c r="M3" t="s">
        <v>20</v>
      </c>
    </row>
    <row r="4" spans="1:13" x14ac:dyDescent="0.3">
      <c r="A4" s="7">
        <v>45176</v>
      </c>
      <c r="B4" s="8" t="s">
        <v>26</v>
      </c>
      <c r="C4" s="8" t="s">
        <v>23</v>
      </c>
      <c r="D4" s="8" t="s">
        <v>16</v>
      </c>
      <c r="E4" s="8" t="s">
        <v>24</v>
      </c>
      <c r="F4" s="8" t="s">
        <v>25</v>
      </c>
      <c r="G4" s="9">
        <v>5</v>
      </c>
      <c r="H4" s="10">
        <v>1299</v>
      </c>
      <c r="I4" s="10">
        <v>6495</v>
      </c>
      <c r="J4" s="11">
        <v>0</v>
      </c>
      <c r="K4" s="12">
        <v>34</v>
      </c>
      <c r="L4" s="8" t="s">
        <v>19</v>
      </c>
      <c r="M4" s="8" t="s">
        <v>20</v>
      </c>
    </row>
    <row r="5" spans="1:13" x14ac:dyDescent="0.3">
      <c r="A5" s="2">
        <v>45051</v>
      </c>
      <c r="B5" t="s">
        <v>27</v>
      </c>
      <c r="C5" t="s">
        <v>23</v>
      </c>
      <c r="D5" t="s">
        <v>28</v>
      </c>
      <c r="E5" t="s">
        <v>24</v>
      </c>
      <c r="F5" t="s">
        <v>29</v>
      </c>
      <c r="G5" s="6">
        <v>1</v>
      </c>
      <c r="H5" s="3">
        <v>449</v>
      </c>
      <c r="I5" s="3">
        <v>449</v>
      </c>
      <c r="J5" s="4">
        <v>0</v>
      </c>
      <c r="K5" s="5">
        <v>34.299999999999997</v>
      </c>
      <c r="L5" t="s">
        <v>19</v>
      </c>
      <c r="M5" t="s">
        <v>30</v>
      </c>
    </row>
    <row r="6" spans="1:13" x14ac:dyDescent="0.3">
      <c r="A6" s="7" t="s">
        <v>31</v>
      </c>
      <c r="B6" s="8" t="s">
        <v>32</v>
      </c>
      <c r="C6" s="8" t="s">
        <v>23</v>
      </c>
      <c r="D6" s="8" t="s">
        <v>16</v>
      </c>
      <c r="E6" s="8" t="s">
        <v>17</v>
      </c>
      <c r="F6" s="8" t="s">
        <v>33</v>
      </c>
      <c r="G6" s="9">
        <v>3</v>
      </c>
      <c r="H6" s="10">
        <v>499</v>
      </c>
      <c r="I6" s="10">
        <v>1497</v>
      </c>
      <c r="J6" s="11">
        <v>0</v>
      </c>
      <c r="K6" s="12">
        <v>25.2</v>
      </c>
      <c r="L6" s="8" t="s">
        <v>19</v>
      </c>
      <c r="M6" s="8" t="s">
        <v>30</v>
      </c>
    </row>
    <row r="7" spans="1:13" x14ac:dyDescent="0.3">
      <c r="A7" s="2">
        <v>45113</v>
      </c>
      <c r="B7" t="s">
        <v>34</v>
      </c>
      <c r="C7" t="s">
        <v>35</v>
      </c>
      <c r="D7" t="s">
        <v>16</v>
      </c>
      <c r="E7" t="s">
        <v>24</v>
      </c>
      <c r="F7" t="s">
        <v>36</v>
      </c>
      <c r="G7" s="6">
        <v>5</v>
      </c>
      <c r="H7" s="3">
        <v>899</v>
      </c>
      <c r="I7" s="3">
        <v>4495</v>
      </c>
      <c r="J7" s="4">
        <v>0</v>
      </c>
      <c r="K7" s="5">
        <v>32.799999999999997</v>
      </c>
      <c r="L7" t="s">
        <v>19</v>
      </c>
      <c r="M7" t="s">
        <v>30</v>
      </c>
    </row>
    <row r="8" spans="1:13" x14ac:dyDescent="0.3">
      <c r="A8" s="7">
        <v>44937</v>
      </c>
      <c r="B8" s="8" t="s">
        <v>37</v>
      </c>
      <c r="C8" s="8" t="s">
        <v>35</v>
      </c>
      <c r="D8" s="8" t="s">
        <v>28</v>
      </c>
      <c r="E8" s="8" t="s">
        <v>17</v>
      </c>
      <c r="F8" s="8" t="s">
        <v>18</v>
      </c>
      <c r="G8" s="9">
        <v>1</v>
      </c>
      <c r="H8" s="10">
        <v>799</v>
      </c>
      <c r="I8" s="10">
        <v>799</v>
      </c>
      <c r="J8" s="11">
        <v>0</v>
      </c>
      <c r="K8" s="12">
        <v>27.6</v>
      </c>
      <c r="L8" s="8" t="s">
        <v>19</v>
      </c>
      <c r="M8" s="8" t="s">
        <v>20</v>
      </c>
    </row>
    <row r="9" spans="1:13" x14ac:dyDescent="0.3">
      <c r="A9" s="2" t="s">
        <v>38</v>
      </c>
      <c r="B9" t="s">
        <v>39</v>
      </c>
      <c r="C9" t="s">
        <v>35</v>
      </c>
      <c r="D9" t="s">
        <v>16</v>
      </c>
      <c r="E9" t="s">
        <v>24</v>
      </c>
      <c r="F9" t="s">
        <v>25</v>
      </c>
      <c r="G9" s="6">
        <v>1</v>
      </c>
      <c r="H9" s="3">
        <v>1299</v>
      </c>
      <c r="I9" s="3">
        <v>1299</v>
      </c>
      <c r="J9" s="4">
        <v>0</v>
      </c>
      <c r="K9" s="5">
        <v>33.700000000000003</v>
      </c>
      <c r="L9" t="s">
        <v>40</v>
      </c>
      <c r="M9" t="s">
        <v>30</v>
      </c>
    </row>
    <row r="10" spans="1:13" x14ac:dyDescent="0.3">
      <c r="A10" s="7">
        <v>44991</v>
      </c>
      <c r="B10" s="8" t="s">
        <v>41</v>
      </c>
      <c r="C10" s="8" t="s">
        <v>35</v>
      </c>
      <c r="D10" s="8" t="s">
        <v>28</v>
      </c>
      <c r="E10" s="8" t="s">
        <v>24</v>
      </c>
      <c r="F10" s="8" t="s">
        <v>36</v>
      </c>
      <c r="G10" s="9">
        <v>4</v>
      </c>
      <c r="H10" s="10">
        <v>899</v>
      </c>
      <c r="I10" s="10">
        <v>3596</v>
      </c>
      <c r="J10" s="11">
        <v>0</v>
      </c>
      <c r="K10" s="12">
        <v>34.799999999999997</v>
      </c>
      <c r="L10" s="8" t="s">
        <v>19</v>
      </c>
      <c r="M10" s="8" t="s">
        <v>20</v>
      </c>
    </row>
    <row r="11" spans="1:13" x14ac:dyDescent="0.3">
      <c r="A11" s="2">
        <v>44989</v>
      </c>
      <c r="B11" t="s">
        <v>42</v>
      </c>
      <c r="C11" t="s">
        <v>15</v>
      </c>
      <c r="D11" t="s">
        <v>28</v>
      </c>
      <c r="E11" t="s">
        <v>24</v>
      </c>
      <c r="F11" t="s">
        <v>36</v>
      </c>
      <c r="G11" s="6">
        <v>2</v>
      </c>
      <c r="H11" s="3">
        <v>899</v>
      </c>
      <c r="I11" s="3">
        <v>1708.1</v>
      </c>
      <c r="J11" s="4">
        <v>5</v>
      </c>
      <c r="K11" s="5">
        <v>28.1</v>
      </c>
      <c r="L11" t="s">
        <v>19</v>
      </c>
      <c r="M11" t="s">
        <v>20</v>
      </c>
    </row>
    <row r="12" spans="1:13" x14ac:dyDescent="0.3">
      <c r="A12" s="7">
        <v>45143</v>
      </c>
      <c r="B12" s="8" t="s">
        <v>43</v>
      </c>
      <c r="C12" s="8" t="s">
        <v>23</v>
      </c>
      <c r="D12" s="8" t="s">
        <v>28</v>
      </c>
      <c r="E12" s="8" t="s">
        <v>17</v>
      </c>
      <c r="F12" s="8" t="s">
        <v>33</v>
      </c>
      <c r="G12" s="9">
        <v>5</v>
      </c>
      <c r="H12" s="10">
        <v>499</v>
      </c>
      <c r="I12" s="10">
        <v>2495</v>
      </c>
      <c r="J12" s="11">
        <v>0</v>
      </c>
      <c r="K12" s="12">
        <v>26.5</v>
      </c>
      <c r="L12" s="8" t="s">
        <v>19</v>
      </c>
      <c r="M12" s="8" t="s">
        <v>20</v>
      </c>
    </row>
    <row r="13" spans="1:13" x14ac:dyDescent="0.3">
      <c r="A13" s="2" t="s">
        <v>44</v>
      </c>
      <c r="B13" t="s">
        <v>45</v>
      </c>
      <c r="C13" t="s">
        <v>35</v>
      </c>
      <c r="D13" t="s">
        <v>46</v>
      </c>
      <c r="E13" t="s">
        <v>17</v>
      </c>
      <c r="F13" t="s">
        <v>33</v>
      </c>
      <c r="G13" s="6">
        <v>5</v>
      </c>
      <c r="H13" s="3">
        <v>499</v>
      </c>
      <c r="I13" s="3">
        <v>2495</v>
      </c>
      <c r="J13" s="4">
        <v>0</v>
      </c>
      <c r="K13" s="5">
        <v>26.7</v>
      </c>
      <c r="L13" t="s">
        <v>19</v>
      </c>
      <c r="M13" t="s">
        <v>30</v>
      </c>
    </row>
    <row r="14" spans="1:13" x14ac:dyDescent="0.3">
      <c r="A14" s="7">
        <v>45084</v>
      </c>
      <c r="B14" s="8" t="s">
        <v>47</v>
      </c>
      <c r="C14" s="8" t="s">
        <v>15</v>
      </c>
      <c r="D14" s="8" t="s">
        <v>28</v>
      </c>
      <c r="E14" s="8" t="s">
        <v>17</v>
      </c>
      <c r="F14" s="8" t="s">
        <v>18</v>
      </c>
      <c r="G14" s="9">
        <v>4</v>
      </c>
      <c r="H14" s="10">
        <v>799</v>
      </c>
      <c r="I14" s="10">
        <v>3196</v>
      </c>
      <c r="J14" s="11">
        <v>0</v>
      </c>
      <c r="K14" s="12">
        <v>34.5</v>
      </c>
      <c r="L14" s="8" t="s">
        <v>48</v>
      </c>
      <c r="M14" s="8" t="s">
        <v>30</v>
      </c>
    </row>
    <row r="15" spans="1:13" x14ac:dyDescent="0.3">
      <c r="A15" s="2" t="s">
        <v>49</v>
      </c>
      <c r="B15" t="s">
        <v>50</v>
      </c>
      <c r="C15" t="s">
        <v>23</v>
      </c>
      <c r="D15" t="s">
        <v>16</v>
      </c>
      <c r="E15" t="s">
        <v>17</v>
      </c>
      <c r="F15" t="s">
        <v>33</v>
      </c>
      <c r="G15" s="6">
        <v>4</v>
      </c>
      <c r="H15" s="3">
        <v>499</v>
      </c>
      <c r="I15" s="3">
        <v>1896.2</v>
      </c>
      <c r="J15" s="4">
        <v>5</v>
      </c>
      <c r="K15" s="5">
        <v>26.3</v>
      </c>
      <c r="L15" t="s">
        <v>19</v>
      </c>
      <c r="M15" t="s">
        <v>30</v>
      </c>
    </row>
    <row r="16" spans="1:13" x14ac:dyDescent="0.3">
      <c r="A16" s="7">
        <v>45018</v>
      </c>
      <c r="B16" s="8" t="s">
        <v>51</v>
      </c>
      <c r="C16" s="8" t="s">
        <v>23</v>
      </c>
      <c r="D16" s="8" t="s">
        <v>28</v>
      </c>
      <c r="E16" s="8" t="s">
        <v>24</v>
      </c>
      <c r="F16" s="8" t="s">
        <v>25</v>
      </c>
      <c r="G16" s="9">
        <v>3</v>
      </c>
      <c r="H16" s="10">
        <v>1299</v>
      </c>
      <c r="I16" s="10">
        <v>3702.15</v>
      </c>
      <c r="J16" s="11">
        <v>5</v>
      </c>
      <c r="K16" s="12">
        <v>35</v>
      </c>
      <c r="L16" s="8" t="s">
        <v>40</v>
      </c>
      <c r="M16" s="8" t="s">
        <v>20</v>
      </c>
    </row>
    <row r="17" spans="1:13" x14ac:dyDescent="0.3">
      <c r="A17" s="2">
        <v>44969</v>
      </c>
      <c r="B17" t="s">
        <v>52</v>
      </c>
      <c r="C17" t="s">
        <v>35</v>
      </c>
      <c r="D17" t="s">
        <v>16</v>
      </c>
      <c r="E17" t="s">
        <v>17</v>
      </c>
      <c r="F17" t="s">
        <v>53</v>
      </c>
      <c r="G17" s="6">
        <v>4</v>
      </c>
      <c r="H17" s="3">
        <v>179</v>
      </c>
      <c r="I17" s="3">
        <v>716</v>
      </c>
      <c r="J17" s="4">
        <v>0</v>
      </c>
      <c r="K17" s="5">
        <v>31.8</v>
      </c>
      <c r="L17" t="s">
        <v>40</v>
      </c>
      <c r="M17" t="s">
        <v>20</v>
      </c>
    </row>
    <row r="18" spans="1:13" x14ac:dyDescent="0.3">
      <c r="A18" s="7">
        <v>45084</v>
      </c>
      <c r="B18" s="8" t="s">
        <v>54</v>
      </c>
      <c r="C18" s="8" t="s">
        <v>35</v>
      </c>
      <c r="D18" s="8" t="s">
        <v>46</v>
      </c>
      <c r="E18" s="8" t="s">
        <v>17</v>
      </c>
      <c r="F18" s="8" t="s">
        <v>33</v>
      </c>
      <c r="G18" s="9">
        <v>4</v>
      </c>
      <c r="H18" s="10">
        <v>499</v>
      </c>
      <c r="I18" s="10">
        <v>1996</v>
      </c>
      <c r="J18" s="11">
        <v>0</v>
      </c>
      <c r="K18" s="12">
        <v>34.4</v>
      </c>
      <c r="L18" s="8" t="s">
        <v>19</v>
      </c>
      <c r="M18" s="8" t="s">
        <v>20</v>
      </c>
    </row>
    <row r="19" spans="1:13" x14ac:dyDescent="0.3">
      <c r="A19" s="2">
        <v>44986</v>
      </c>
      <c r="B19" t="s">
        <v>55</v>
      </c>
      <c r="C19" t="s">
        <v>23</v>
      </c>
      <c r="D19" t="s">
        <v>28</v>
      </c>
      <c r="E19" t="s">
        <v>24</v>
      </c>
      <c r="F19" t="s">
        <v>36</v>
      </c>
      <c r="G19" s="6">
        <v>1</v>
      </c>
      <c r="H19" s="3">
        <v>899</v>
      </c>
      <c r="I19" s="3">
        <v>899</v>
      </c>
      <c r="J19" s="4">
        <v>0</v>
      </c>
      <c r="K19" s="5">
        <v>34.299999999999997</v>
      </c>
      <c r="L19" t="s">
        <v>19</v>
      </c>
      <c r="M19" t="s">
        <v>20</v>
      </c>
    </row>
    <row r="20" spans="1:13" x14ac:dyDescent="0.3">
      <c r="A20" s="7" t="s">
        <v>56</v>
      </c>
      <c r="B20" s="8" t="s">
        <v>57</v>
      </c>
      <c r="C20" s="8" t="s">
        <v>23</v>
      </c>
      <c r="D20" s="8" t="s">
        <v>46</v>
      </c>
      <c r="E20" s="8" t="s">
        <v>24</v>
      </c>
      <c r="F20" s="8" t="s">
        <v>29</v>
      </c>
      <c r="G20" s="9">
        <v>4</v>
      </c>
      <c r="H20" s="10">
        <v>449</v>
      </c>
      <c r="I20" s="10">
        <v>1796</v>
      </c>
      <c r="J20" s="11">
        <v>0</v>
      </c>
      <c r="K20" s="12">
        <v>30.1</v>
      </c>
      <c r="L20" s="8" t="s">
        <v>19</v>
      </c>
      <c r="M20" s="8" t="s">
        <v>30</v>
      </c>
    </row>
    <row r="21" spans="1:13" x14ac:dyDescent="0.3">
      <c r="A21" s="2" t="s">
        <v>58</v>
      </c>
      <c r="B21" t="s">
        <v>59</v>
      </c>
      <c r="C21" t="s">
        <v>23</v>
      </c>
      <c r="D21" t="s">
        <v>16</v>
      </c>
      <c r="E21" t="s">
        <v>17</v>
      </c>
      <c r="F21" t="s">
        <v>53</v>
      </c>
      <c r="G21" s="6">
        <v>1</v>
      </c>
      <c r="H21" s="3">
        <v>179</v>
      </c>
      <c r="I21" s="3">
        <v>170.05</v>
      </c>
      <c r="J21" s="4">
        <v>5</v>
      </c>
      <c r="K21" s="5">
        <v>33.200000000000003</v>
      </c>
      <c r="L21" t="s">
        <v>19</v>
      </c>
      <c r="M21" t="s">
        <v>30</v>
      </c>
    </row>
    <row r="22" spans="1:13" x14ac:dyDescent="0.3">
      <c r="A22" s="7" t="s">
        <v>60</v>
      </c>
      <c r="B22" s="8" t="s">
        <v>61</v>
      </c>
      <c r="C22" s="8" t="s">
        <v>35</v>
      </c>
      <c r="D22" s="8" t="s">
        <v>28</v>
      </c>
      <c r="E22" s="8" t="s">
        <v>17</v>
      </c>
      <c r="F22" s="8" t="s">
        <v>53</v>
      </c>
      <c r="G22" s="9">
        <v>5</v>
      </c>
      <c r="H22" s="10">
        <v>179</v>
      </c>
      <c r="I22" s="10">
        <v>895</v>
      </c>
      <c r="J22" s="11">
        <v>0</v>
      </c>
      <c r="K22" s="12">
        <v>31.6</v>
      </c>
      <c r="L22" s="8" t="s">
        <v>19</v>
      </c>
      <c r="M22" s="8" t="s">
        <v>30</v>
      </c>
    </row>
    <row r="23" spans="1:13" x14ac:dyDescent="0.3">
      <c r="A23" s="2" t="s">
        <v>62</v>
      </c>
      <c r="B23" t="s">
        <v>63</v>
      </c>
      <c r="C23" t="s">
        <v>35</v>
      </c>
      <c r="D23" t="s">
        <v>16</v>
      </c>
      <c r="E23" t="s">
        <v>24</v>
      </c>
      <c r="F23" t="s">
        <v>25</v>
      </c>
      <c r="G23" s="6">
        <v>5</v>
      </c>
      <c r="H23" s="3">
        <v>1299</v>
      </c>
      <c r="I23" s="3">
        <v>6495</v>
      </c>
      <c r="J23" s="4">
        <v>0</v>
      </c>
      <c r="K23" s="5">
        <v>30</v>
      </c>
      <c r="L23" t="s">
        <v>19</v>
      </c>
      <c r="M23" t="s">
        <v>20</v>
      </c>
    </row>
    <row r="24" spans="1:13" x14ac:dyDescent="0.3">
      <c r="A24" s="7">
        <v>45112</v>
      </c>
      <c r="B24" s="8" t="s">
        <v>64</v>
      </c>
      <c r="C24" s="8" t="s">
        <v>35</v>
      </c>
      <c r="D24" s="8" t="s">
        <v>28</v>
      </c>
      <c r="E24" s="8" t="s">
        <v>24</v>
      </c>
      <c r="F24" s="8" t="s">
        <v>36</v>
      </c>
      <c r="G24" s="9">
        <v>5</v>
      </c>
      <c r="H24" s="10">
        <v>899</v>
      </c>
      <c r="I24" s="10">
        <v>4495</v>
      </c>
      <c r="J24" s="11">
        <v>0</v>
      </c>
      <c r="K24" s="12">
        <v>32.1</v>
      </c>
      <c r="L24" s="8" t="s">
        <v>19</v>
      </c>
      <c r="M24" s="8" t="s">
        <v>30</v>
      </c>
    </row>
    <row r="25" spans="1:13" x14ac:dyDescent="0.3">
      <c r="A25" s="2" t="s">
        <v>65</v>
      </c>
      <c r="B25" t="s">
        <v>66</v>
      </c>
      <c r="C25" t="s">
        <v>23</v>
      </c>
      <c r="D25" t="s">
        <v>16</v>
      </c>
      <c r="E25" t="s">
        <v>17</v>
      </c>
      <c r="F25" t="s">
        <v>33</v>
      </c>
      <c r="G25" s="6">
        <v>5</v>
      </c>
      <c r="H25" s="3">
        <v>499</v>
      </c>
      <c r="I25" s="3">
        <v>2495</v>
      </c>
      <c r="J25" s="4">
        <v>0</v>
      </c>
      <c r="K25" s="5">
        <v>31.3</v>
      </c>
      <c r="L25" t="s">
        <v>19</v>
      </c>
      <c r="M25" t="s">
        <v>20</v>
      </c>
    </row>
    <row r="26" spans="1:13" x14ac:dyDescent="0.3">
      <c r="A26" s="7">
        <v>45108</v>
      </c>
      <c r="B26" s="8" t="s">
        <v>67</v>
      </c>
      <c r="C26" s="8" t="s">
        <v>15</v>
      </c>
      <c r="D26" s="8" t="s">
        <v>16</v>
      </c>
      <c r="E26" s="8" t="s">
        <v>24</v>
      </c>
      <c r="F26" s="8" t="s">
        <v>25</v>
      </c>
      <c r="G26" s="9">
        <v>5</v>
      </c>
      <c r="H26" s="10">
        <v>1299</v>
      </c>
      <c r="I26" s="10">
        <v>6170.25</v>
      </c>
      <c r="J26" s="11">
        <v>5</v>
      </c>
      <c r="K26" s="12">
        <v>31</v>
      </c>
      <c r="L26" s="8" t="s">
        <v>48</v>
      </c>
      <c r="M26" s="8" t="s">
        <v>20</v>
      </c>
    </row>
    <row r="27" spans="1:13" x14ac:dyDescent="0.3">
      <c r="A27" s="2" t="s">
        <v>68</v>
      </c>
      <c r="B27" t="s">
        <v>69</v>
      </c>
      <c r="C27" t="s">
        <v>15</v>
      </c>
      <c r="D27" t="s">
        <v>46</v>
      </c>
      <c r="E27" t="s">
        <v>24</v>
      </c>
      <c r="F27" t="s">
        <v>36</v>
      </c>
      <c r="G27" s="6">
        <v>1</v>
      </c>
      <c r="H27" s="3">
        <v>899</v>
      </c>
      <c r="I27" s="3">
        <v>899</v>
      </c>
      <c r="J27" s="4">
        <v>0</v>
      </c>
      <c r="K27" s="5">
        <v>32.9</v>
      </c>
      <c r="L27" t="s">
        <v>19</v>
      </c>
      <c r="M27" t="s">
        <v>20</v>
      </c>
    </row>
    <row r="28" spans="1:13" x14ac:dyDescent="0.3">
      <c r="A28" s="7" t="s">
        <v>68</v>
      </c>
      <c r="B28" s="8" t="s">
        <v>70</v>
      </c>
      <c r="C28" s="8" t="s">
        <v>35</v>
      </c>
      <c r="D28" s="8" t="s">
        <v>28</v>
      </c>
      <c r="E28" s="8" t="s">
        <v>24</v>
      </c>
      <c r="F28" s="8" t="s">
        <v>25</v>
      </c>
      <c r="G28" s="9">
        <v>2</v>
      </c>
      <c r="H28" s="10">
        <v>1299</v>
      </c>
      <c r="I28" s="10">
        <v>2598</v>
      </c>
      <c r="J28" s="11">
        <v>0</v>
      </c>
      <c r="K28" s="12">
        <v>29.7</v>
      </c>
      <c r="L28" s="8" t="s">
        <v>19</v>
      </c>
      <c r="M28" s="8" t="s">
        <v>20</v>
      </c>
    </row>
    <row r="29" spans="1:13" x14ac:dyDescent="0.3">
      <c r="A29" s="2">
        <v>45026</v>
      </c>
      <c r="B29" t="s">
        <v>71</v>
      </c>
      <c r="C29" t="s">
        <v>15</v>
      </c>
      <c r="D29" t="s">
        <v>16</v>
      </c>
      <c r="E29" t="s">
        <v>24</v>
      </c>
      <c r="F29" t="s">
        <v>25</v>
      </c>
      <c r="G29" s="6">
        <v>1</v>
      </c>
      <c r="H29" s="3">
        <v>1299</v>
      </c>
      <c r="I29" s="3">
        <v>1299</v>
      </c>
      <c r="J29" s="4">
        <v>0</v>
      </c>
      <c r="K29" s="5">
        <v>26.4</v>
      </c>
      <c r="L29" t="s">
        <v>48</v>
      </c>
      <c r="M29" t="s">
        <v>20</v>
      </c>
    </row>
    <row r="30" spans="1:13" x14ac:dyDescent="0.3">
      <c r="A30" s="7" t="s">
        <v>72</v>
      </c>
      <c r="B30" s="8" t="s">
        <v>73</v>
      </c>
      <c r="C30" s="8" t="s">
        <v>35</v>
      </c>
      <c r="D30" s="8" t="s">
        <v>16</v>
      </c>
      <c r="E30" s="8" t="s">
        <v>24</v>
      </c>
      <c r="F30" s="8" t="s">
        <v>29</v>
      </c>
      <c r="G30" s="9">
        <v>3</v>
      </c>
      <c r="H30" s="10">
        <v>449</v>
      </c>
      <c r="I30" s="10">
        <v>1347</v>
      </c>
      <c r="J30" s="11">
        <v>0</v>
      </c>
      <c r="K30" s="12">
        <v>35</v>
      </c>
      <c r="L30" s="8" t="s">
        <v>19</v>
      </c>
      <c r="M30" s="8" t="s">
        <v>30</v>
      </c>
    </row>
    <row r="31" spans="1:13" x14ac:dyDescent="0.3">
      <c r="A31" s="2">
        <v>45141</v>
      </c>
      <c r="B31" t="s">
        <v>74</v>
      </c>
      <c r="C31" t="s">
        <v>23</v>
      </c>
      <c r="D31" t="s">
        <v>16</v>
      </c>
      <c r="E31" t="s">
        <v>24</v>
      </c>
      <c r="F31" t="s">
        <v>36</v>
      </c>
      <c r="G31" s="6">
        <v>4</v>
      </c>
      <c r="H31" s="3">
        <v>899</v>
      </c>
      <c r="I31" s="3">
        <v>3596</v>
      </c>
      <c r="J31" s="4">
        <v>0</v>
      </c>
      <c r="K31" s="5">
        <v>29.6</v>
      </c>
      <c r="L31" t="s">
        <v>19</v>
      </c>
      <c r="M31" t="s">
        <v>30</v>
      </c>
    </row>
    <row r="32" spans="1:13" x14ac:dyDescent="0.3">
      <c r="A32" s="7" t="s">
        <v>75</v>
      </c>
      <c r="B32" s="8" t="s">
        <v>76</v>
      </c>
      <c r="C32" s="8" t="s">
        <v>15</v>
      </c>
      <c r="D32" s="8" t="s">
        <v>28</v>
      </c>
      <c r="E32" s="8" t="s">
        <v>17</v>
      </c>
      <c r="F32" s="8" t="s">
        <v>18</v>
      </c>
      <c r="G32" s="9">
        <v>2</v>
      </c>
      <c r="H32" s="10">
        <v>799</v>
      </c>
      <c r="I32" s="10">
        <v>1598</v>
      </c>
      <c r="J32" s="11">
        <v>0</v>
      </c>
      <c r="K32" s="12">
        <v>30.2</v>
      </c>
      <c r="L32" s="8" t="s">
        <v>40</v>
      </c>
      <c r="M32" s="8" t="s">
        <v>30</v>
      </c>
    </row>
    <row r="33" spans="1:13" x14ac:dyDescent="0.3">
      <c r="A33" s="2">
        <v>45234</v>
      </c>
      <c r="B33" t="s">
        <v>77</v>
      </c>
      <c r="C33" t="s">
        <v>23</v>
      </c>
      <c r="D33" t="s">
        <v>28</v>
      </c>
      <c r="E33" t="s">
        <v>17</v>
      </c>
      <c r="F33" t="s">
        <v>33</v>
      </c>
      <c r="G33" s="6">
        <v>1</v>
      </c>
      <c r="H33" s="3">
        <v>499</v>
      </c>
      <c r="I33" s="3">
        <v>499</v>
      </c>
      <c r="J33" s="4">
        <v>0</v>
      </c>
      <c r="K33" s="5">
        <v>26</v>
      </c>
      <c r="L33" t="s">
        <v>19</v>
      </c>
      <c r="M33" t="s">
        <v>30</v>
      </c>
    </row>
    <row r="34" spans="1:13" x14ac:dyDescent="0.3">
      <c r="A34" s="7" t="s">
        <v>78</v>
      </c>
      <c r="B34" s="8" t="s">
        <v>79</v>
      </c>
      <c r="C34" s="8" t="s">
        <v>23</v>
      </c>
      <c r="D34" s="8" t="s">
        <v>16</v>
      </c>
      <c r="E34" s="8" t="s">
        <v>24</v>
      </c>
      <c r="F34" s="8" t="s">
        <v>25</v>
      </c>
      <c r="G34" s="9">
        <v>5</v>
      </c>
      <c r="H34" s="10">
        <v>1299</v>
      </c>
      <c r="I34" s="10">
        <v>6495</v>
      </c>
      <c r="J34" s="11">
        <v>0</v>
      </c>
      <c r="K34" s="12">
        <v>29.3</v>
      </c>
      <c r="L34" s="8" t="s">
        <v>19</v>
      </c>
      <c r="M34" s="8" t="s">
        <v>30</v>
      </c>
    </row>
    <row r="35" spans="1:13" x14ac:dyDescent="0.3">
      <c r="A35" s="2">
        <v>45207</v>
      </c>
      <c r="B35" t="s">
        <v>80</v>
      </c>
      <c r="C35" t="s">
        <v>23</v>
      </c>
      <c r="D35" t="s">
        <v>16</v>
      </c>
      <c r="E35" t="s">
        <v>24</v>
      </c>
      <c r="F35" t="s">
        <v>36</v>
      </c>
      <c r="G35" s="6">
        <v>3</v>
      </c>
      <c r="H35" s="3">
        <v>899</v>
      </c>
      <c r="I35" s="3">
        <v>2697</v>
      </c>
      <c r="J35" s="4">
        <v>0</v>
      </c>
      <c r="K35" s="5">
        <v>27.8</v>
      </c>
      <c r="L35" t="s">
        <v>40</v>
      </c>
      <c r="M35" t="s">
        <v>20</v>
      </c>
    </row>
    <row r="36" spans="1:13" x14ac:dyDescent="0.3">
      <c r="A36" s="7" t="s">
        <v>81</v>
      </c>
      <c r="B36" s="8" t="s">
        <v>82</v>
      </c>
      <c r="C36" s="8" t="s">
        <v>15</v>
      </c>
      <c r="D36" s="8" t="s">
        <v>46</v>
      </c>
      <c r="E36" s="8" t="s">
        <v>24</v>
      </c>
      <c r="F36" s="8" t="s">
        <v>36</v>
      </c>
      <c r="G36" s="9">
        <v>2</v>
      </c>
      <c r="H36" s="10">
        <v>899</v>
      </c>
      <c r="I36" s="10">
        <v>1708.1</v>
      </c>
      <c r="J36" s="11">
        <v>5</v>
      </c>
      <c r="K36" s="12">
        <v>25.4</v>
      </c>
      <c r="L36" s="8" t="s">
        <v>48</v>
      </c>
      <c r="M36" s="8" t="s">
        <v>30</v>
      </c>
    </row>
    <row r="37" spans="1:13" x14ac:dyDescent="0.3">
      <c r="A37" s="2" t="s">
        <v>49</v>
      </c>
      <c r="B37" t="s">
        <v>83</v>
      </c>
      <c r="C37" t="s">
        <v>35</v>
      </c>
      <c r="D37" t="s">
        <v>16</v>
      </c>
      <c r="E37" t="s">
        <v>24</v>
      </c>
      <c r="F37" t="s">
        <v>25</v>
      </c>
      <c r="G37" s="6">
        <v>5</v>
      </c>
      <c r="H37" s="3">
        <v>1299</v>
      </c>
      <c r="I37" s="3">
        <v>6495</v>
      </c>
      <c r="J37" s="4">
        <v>0</v>
      </c>
      <c r="K37" s="5">
        <v>25.1</v>
      </c>
      <c r="L37" t="s">
        <v>19</v>
      </c>
      <c r="M37" t="s">
        <v>30</v>
      </c>
    </row>
    <row r="38" spans="1:13" x14ac:dyDescent="0.3">
      <c r="A38" s="7">
        <v>44927</v>
      </c>
      <c r="B38" s="8" t="s">
        <v>84</v>
      </c>
      <c r="C38" s="8" t="s">
        <v>35</v>
      </c>
      <c r="D38" s="8" t="s">
        <v>28</v>
      </c>
      <c r="E38" s="8" t="s">
        <v>17</v>
      </c>
      <c r="F38" s="8" t="s">
        <v>18</v>
      </c>
      <c r="G38" s="9">
        <v>1</v>
      </c>
      <c r="H38" s="10">
        <v>799</v>
      </c>
      <c r="I38" s="10">
        <v>799</v>
      </c>
      <c r="J38" s="11">
        <v>0</v>
      </c>
      <c r="K38" s="12">
        <v>32</v>
      </c>
      <c r="L38" s="8" t="s">
        <v>40</v>
      </c>
      <c r="M38" s="8" t="s">
        <v>20</v>
      </c>
    </row>
    <row r="39" spans="1:13" x14ac:dyDescent="0.3">
      <c r="A39" s="2" t="s">
        <v>85</v>
      </c>
      <c r="B39" t="s">
        <v>86</v>
      </c>
      <c r="C39" t="s">
        <v>35</v>
      </c>
      <c r="D39" t="s">
        <v>46</v>
      </c>
      <c r="E39" t="s">
        <v>17</v>
      </c>
      <c r="F39" t="s">
        <v>18</v>
      </c>
      <c r="G39" s="6">
        <v>1</v>
      </c>
      <c r="H39" s="3">
        <v>799</v>
      </c>
      <c r="I39" s="3">
        <v>799</v>
      </c>
      <c r="J39" s="4">
        <v>0</v>
      </c>
      <c r="K39" s="5">
        <v>27.6</v>
      </c>
      <c r="L39" t="s">
        <v>19</v>
      </c>
      <c r="M39" t="s">
        <v>20</v>
      </c>
    </row>
    <row r="40" spans="1:13" x14ac:dyDescent="0.3">
      <c r="A40" s="7">
        <v>45205</v>
      </c>
      <c r="B40" s="8" t="s">
        <v>87</v>
      </c>
      <c r="C40" s="8" t="s">
        <v>23</v>
      </c>
      <c r="D40" s="8" t="s">
        <v>16</v>
      </c>
      <c r="E40" s="8" t="s">
        <v>24</v>
      </c>
      <c r="F40" s="8" t="s">
        <v>25</v>
      </c>
      <c r="G40" s="9">
        <v>4</v>
      </c>
      <c r="H40" s="10">
        <v>1299</v>
      </c>
      <c r="I40" s="10">
        <v>4936.2</v>
      </c>
      <c r="J40" s="11">
        <v>5</v>
      </c>
      <c r="K40" s="12">
        <v>30.5</v>
      </c>
      <c r="L40" s="8" t="s">
        <v>40</v>
      </c>
      <c r="M40" s="8" t="s">
        <v>20</v>
      </c>
    </row>
    <row r="41" spans="1:13" x14ac:dyDescent="0.3">
      <c r="A41" s="2" t="s">
        <v>88</v>
      </c>
      <c r="B41" t="s">
        <v>89</v>
      </c>
      <c r="C41" t="s">
        <v>23</v>
      </c>
      <c r="D41" t="s">
        <v>28</v>
      </c>
      <c r="E41" t="s">
        <v>17</v>
      </c>
      <c r="F41" t="s">
        <v>53</v>
      </c>
      <c r="G41" s="6">
        <v>5</v>
      </c>
      <c r="H41" s="3">
        <v>179</v>
      </c>
      <c r="I41" s="3">
        <v>895</v>
      </c>
      <c r="J41" s="4">
        <v>0</v>
      </c>
      <c r="K41" s="5">
        <v>32.799999999999997</v>
      </c>
      <c r="L41" t="s">
        <v>19</v>
      </c>
      <c r="M41" t="s">
        <v>30</v>
      </c>
    </row>
    <row r="42" spans="1:13" x14ac:dyDescent="0.3">
      <c r="A42" s="7">
        <v>45047</v>
      </c>
      <c r="B42" s="8" t="s">
        <v>90</v>
      </c>
      <c r="C42" s="8" t="s">
        <v>15</v>
      </c>
      <c r="D42" s="8" t="s">
        <v>28</v>
      </c>
      <c r="E42" s="8" t="s">
        <v>24</v>
      </c>
      <c r="F42" s="8" t="s">
        <v>29</v>
      </c>
      <c r="G42" s="9">
        <v>3</v>
      </c>
      <c r="H42" s="10">
        <v>449</v>
      </c>
      <c r="I42" s="10">
        <v>1279.6500000000001</v>
      </c>
      <c r="J42" s="11">
        <v>5</v>
      </c>
      <c r="K42" s="12">
        <v>30.3</v>
      </c>
      <c r="L42" s="8" t="s">
        <v>19</v>
      </c>
      <c r="M42" s="8" t="s">
        <v>20</v>
      </c>
    </row>
    <row r="43" spans="1:13" x14ac:dyDescent="0.3">
      <c r="A43" s="2" t="s">
        <v>91</v>
      </c>
      <c r="B43" t="s">
        <v>92</v>
      </c>
      <c r="C43" t="s">
        <v>35</v>
      </c>
      <c r="D43" t="s">
        <v>46</v>
      </c>
      <c r="E43" t="s">
        <v>17</v>
      </c>
      <c r="F43" t="s">
        <v>18</v>
      </c>
      <c r="G43" s="6">
        <v>3</v>
      </c>
      <c r="H43" s="3">
        <v>799</v>
      </c>
      <c r="I43" s="3">
        <v>2277.15</v>
      </c>
      <c r="J43" s="4">
        <v>5</v>
      </c>
      <c r="K43" s="5">
        <v>27.1</v>
      </c>
      <c r="L43" t="s">
        <v>40</v>
      </c>
      <c r="M43" t="s">
        <v>30</v>
      </c>
    </row>
    <row r="44" spans="1:13" x14ac:dyDescent="0.3">
      <c r="A44" s="7">
        <v>45139</v>
      </c>
      <c r="B44" s="8" t="s">
        <v>93</v>
      </c>
      <c r="C44" s="8" t="s">
        <v>15</v>
      </c>
      <c r="D44" s="8" t="s">
        <v>28</v>
      </c>
      <c r="E44" s="8" t="s">
        <v>24</v>
      </c>
      <c r="F44" s="8" t="s">
        <v>36</v>
      </c>
      <c r="G44" s="9">
        <v>2</v>
      </c>
      <c r="H44" s="10">
        <v>899</v>
      </c>
      <c r="I44" s="10">
        <v>1798</v>
      </c>
      <c r="J44" s="11">
        <v>0</v>
      </c>
      <c r="K44" s="12">
        <v>29.1</v>
      </c>
      <c r="L44" s="8" t="s">
        <v>19</v>
      </c>
      <c r="M44" s="8" t="s">
        <v>20</v>
      </c>
    </row>
    <row r="45" spans="1:13" x14ac:dyDescent="0.3">
      <c r="A45" s="2" t="s">
        <v>94</v>
      </c>
      <c r="B45" t="s">
        <v>95</v>
      </c>
      <c r="C45" t="s">
        <v>35</v>
      </c>
      <c r="D45" t="s">
        <v>28</v>
      </c>
      <c r="E45" t="s">
        <v>24</v>
      </c>
      <c r="F45" t="s">
        <v>29</v>
      </c>
      <c r="G45" s="6">
        <v>4</v>
      </c>
      <c r="H45" s="3">
        <v>449</v>
      </c>
      <c r="I45" s="3">
        <v>1796</v>
      </c>
      <c r="J45" s="4">
        <v>0</v>
      </c>
      <c r="K45" s="5">
        <v>28</v>
      </c>
      <c r="L45" t="s">
        <v>19</v>
      </c>
      <c r="M45" t="s">
        <v>20</v>
      </c>
    </row>
    <row r="46" spans="1:13" x14ac:dyDescent="0.3">
      <c r="A46" s="7" t="s">
        <v>96</v>
      </c>
      <c r="B46" s="8" t="s">
        <v>97</v>
      </c>
      <c r="C46" s="8" t="s">
        <v>35</v>
      </c>
      <c r="D46" s="8" t="s">
        <v>28</v>
      </c>
      <c r="E46" s="8" t="s">
        <v>24</v>
      </c>
      <c r="F46" s="8" t="s">
        <v>25</v>
      </c>
      <c r="G46" s="9">
        <v>3</v>
      </c>
      <c r="H46" s="10">
        <v>1299</v>
      </c>
      <c r="I46" s="10">
        <v>3897</v>
      </c>
      <c r="J46" s="11">
        <v>0</v>
      </c>
      <c r="K46" s="12">
        <v>29</v>
      </c>
      <c r="L46" s="8" t="s">
        <v>19</v>
      </c>
      <c r="M46" s="8" t="s">
        <v>20</v>
      </c>
    </row>
    <row r="47" spans="1:13" x14ac:dyDescent="0.3">
      <c r="A47" s="2">
        <v>45117</v>
      </c>
      <c r="B47" t="s">
        <v>98</v>
      </c>
      <c r="C47" t="s">
        <v>23</v>
      </c>
      <c r="D47" t="s">
        <v>28</v>
      </c>
      <c r="E47" t="s">
        <v>24</v>
      </c>
      <c r="F47" t="s">
        <v>29</v>
      </c>
      <c r="G47" s="6">
        <v>3</v>
      </c>
      <c r="H47" s="3">
        <v>449</v>
      </c>
      <c r="I47" s="3">
        <v>1347</v>
      </c>
      <c r="J47" s="4">
        <v>0</v>
      </c>
      <c r="K47" s="5">
        <v>31.7</v>
      </c>
      <c r="L47" t="s">
        <v>19</v>
      </c>
      <c r="M47" t="s">
        <v>20</v>
      </c>
    </row>
    <row r="48" spans="1:13" x14ac:dyDescent="0.3">
      <c r="A48" s="7">
        <v>44961</v>
      </c>
      <c r="B48" s="8" t="s">
        <v>99</v>
      </c>
      <c r="C48" s="8" t="s">
        <v>35</v>
      </c>
      <c r="D48" s="8" t="s">
        <v>28</v>
      </c>
      <c r="E48" s="8" t="s">
        <v>24</v>
      </c>
      <c r="F48" s="8" t="s">
        <v>25</v>
      </c>
      <c r="G48" s="9">
        <v>4</v>
      </c>
      <c r="H48" s="10">
        <v>1299</v>
      </c>
      <c r="I48" s="10">
        <v>5196</v>
      </c>
      <c r="J48" s="11">
        <v>0</v>
      </c>
      <c r="K48" s="12">
        <v>30.7</v>
      </c>
      <c r="L48" s="8" t="s">
        <v>19</v>
      </c>
      <c r="M48" s="8" t="s">
        <v>30</v>
      </c>
    </row>
    <row r="49" spans="1:13" x14ac:dyDescent="0.3">
      <c r="A49" s="2" t="s">
        <v>100</v>
      </c>
      <c r="B49" t="s">
        <v>101</v>
      </c>
      <c r="C49" t="s">
        <v>23</v>
      </c>
      <c r="D49" t="s">
        <v>28</v>
      </c>
      <c r="E49" t="s">
        <v>17</v>
      </c>
      <c r="F49" t="s">
        <v>18</v>
      </c>
      <c r="G49" s="6">
        <v>1</v>
      </c>
      <c r="H49" s="3">
        <v>799</v>
      </c>
      <c r="I49" s="3">
        <v>799</v>
      </c>
      <c r="J49" s="4">
        <v>0</v>
      </c>
      <c r="K49" s="5">
        <v>34.5</v>
      </c>
      <c r="L49" t="s">
        <v>19</v>
      </c>
      <c r="M49" t="s">
        <v>20</v>
      </c>
    </row>
    <row r="50" spans="1:13" x14ac:dyDescent="0.3">
      <c r="A50" s="7">
        <v>45146</v>
      </c>
      <c r="B50" s="8" t="s">
        <v>102</v>
      </c>
      <c r="C50" s="8" t="s">
        <v>23</v>
      </c>
      <c r="D50" s="8" t="s">
        <v>28</v>
      </c>
      <c r="E50" s="8" t="s">
        <v>24</v>
      </c>
      <c r="F50" s="8" t="s">
        <v>29</v>
      </c>
      <c r="G50" s="9">
        <v>5</v>
      </c>
      <c r="H50" s="10">
        <v>449</v>
      </c>
      <c r="I50" s="10">
        <v>2245</v>
      </c>
      <c r="J50" s="11">
        <v>0</v>
      </c>
      <c r="K50" s="12">
        <v>27</v>
      </c>
      <c r="L50" s="8" t="s">
        <v>19</v>
      </c>
      <c r="M50" s="8" t="s">
        <v>30</v>
      </c>
    </row>
    <row r="51" spans="1:13" x14ac:dyDescent="0.3">
      <c r="A51" s="2" t="s">
        <v>103</v>
      </c>
      <c r="B51" t="s">
        <v>104</v>
      </c>
      <c r="C51" t="s">
        <v>35</v>
      </c>
      <c r="D51" t="s">
        <v>46</v>
      </c>
      <c r="E51" t="s">
        <v>24</v>
      </c>
      <c r="F51" t="s">
        <v>25</v>
      </c>
      <c r="G51" s="6">
        <v>3</v>
      </c>
      <c r="H51" s="3">
        <v>1299</v>
      </c>
      <c r="I51" s="3">
        <v>3897</v>
      </c>
      <c r="J51" s="4">
        <v>0</v>
      </c>
      <c r="K51" s="5">
        <v>27.3</v>
      </c>
      <c r="L51" t="s">
        <v>19</v>
      </c>
      <c r="M51" t="s">
        <v>20</v>
      </c>
    </row>
    <row r="52" spans="1:13" x14ac:dyDescent="0.3">
      <c r="A52" s="7" t="s">
        <v>105</v>
      </c>
      <c r="B52" s="8" t="s">
        <v>106</v>
      </c>
      <c r="C52" s="8" t="s">
        <v>15</v>
      </c>
      <c r="D52" s="8" t="s">
        <v>46</v>
      </c>
      <c r="E52" s="8" t="s">
        <v>24</v>
      </c>
      <c r="F52" s="8" t="s">
        <v>36</v>
      </c>
      <c r="G52" s="9">
        <v>3</v>
      </c>
      <c r="H52" s="10">
        <v>899</v>
      </c>
      <c r="I52" s="10">
        <v>2562.15</v>
      </c>
      <c r="J52" s="11">
        <v>5</v>
      </c>
      <c r="K52" s="12">
        <v>28.4</v>
      </c>
      <c r="L52" s="8" t="s">
        <v>19</v>
      </c>
      <c r="M52" s="8" t="s">
        <v>30</v>
      </c>
    </row>
    <row r="53" spans="1:13" x14ac:dyDescent="0.3">
      <c r="A53" s="2" t="s">
        <v>107</v>
      </c>
      <c r="B53" t="s">
        <v>108</v>
      </c>
      <c r="C53" t="s">
        <v>35</v>
      </c>
      <c r="D53" t="s">
        <v>28</v>
      </c>
      <c r="E53" t="s">
        <v>24</v>
      </c>
      <c r="F53" t="s">
        <v>25</v>
      </c>
      <c r="G53" s="6">
        <v>1</v>
      </c>
      <c r="H53" s="3">
        <v>1299</v>
      </c>
      <c r="I53" s="3">
        <v>1299</v>
      </c>
      <c r="J53" s="4">
        <v>0</v>
      </c>
      <c r="K53" s="5">
        <v>30.7</v>
      </c>
      <c r="L53" t="s">
        <v>40</v>
      </c>
      <c r="M53" t="s">
        <v>30</v>
      </c>
    </row>
    <row r="54" spans="1:13" x14ac:dyDescent="0.3">
      <c r="A54" s="7" t="s">
        <v>109</v>
      </c>
      <c r="B54" s="8" t="s">
        <v>110</v>
      </c>
      <c r="C54" s="8" t="s">
        <v>35</v>
      </c>
      <c r="D54" s="8" t="s">
        <v>46</v>
      </c>
      <c r="E54" s="8" t="s">
        <v>24</v>
      </c>
      <c r="F54" s="8" t="s">
        <v>29</v>
      </c>
      <c r="G54" s="9">
        <v>4</v>
      </c>
      <c r="H54" s="10">
        <v>449</v>
      </c>
      <c r="I54" s="10">
        <v>1796</v>
      </c>
      <c r="J54" s="11">
        <v>0</v>
      </c>
      <c r="K54" s="12">
        <v>34.200000000000003</v>
      </c>
      <c r="L54" s="8" t="s">
        <v>48</v>
      </c>
      <c r="M54" s="8" t="s">
        <v>20</v>
      </c>
    </row>
    <row r="55" spans="1:13" x14ac:dyDescent="0.3">
      <c r="A55" s="2" t="s">
        <v>68</v>
      </c>
      <c r="B55" t="s">
        <v>111</v>
      </c>
      <c r="C55" t="s">
        <v>35</v>
      </c>
      <c r="D55" t="s">
        <v>46</v>
      </c>
      <c r="E55" t="s">
        <v>24</v>
      </c>
      <c r="F55" t="s">
        <v>36</v>
      </c>
      <c r="G55" s="6">
        <v>1</v>
      </c>
      <c r="H55" s="3">
        <v>899</v>
      </c>
      <c r="I55" s="3">
        <v>854.05</v>
      </c>
      <c r="J55" s="4">
        <v>5</v>
      </c>
      <c r="K55" s="5">
        <v>27.8</v>
      </c>
      <c r="L55" t="s">
        <v>48</v>
      </c>
      <c r="M55" t="s">
        <v>30</v>
      </c>
    </row>
    <row r="56" spans="1:13" x14ac:dyDescent="0.3">
      <c r="A56" s="7" t="s">
        <v>112</v>
      </c>
      <c r="B56" s="8" t="s">
        <v>113</v>
      </c>
      <c r="C56" s="8" t="s">
        <v>35</v>
      </c>
      <c r="D56" s="8" t="s">
        <v>28</v>
      </c>
      <c r="E56" s="8" t="s">
        <v>24</v>
      </c>
      <c r="F56" s="8" t="s">
        <v>25</v>
      </c>
      <c r="G56" s="9">
        <v>3</v>
      </c>
      <c r="H56" s="10">
        <v>1299</v>
      </c>
      <c r="I56" s="10">
        <v>3897</v>
      </c>
      <c r="J56" s="11">
        <v>0</v>
      </c>
      <c r="K56" s="12">
        <v>31.8</v>
      </c>
      <c r="L56" s="8" t="s">
        <v>19</v>
      </c>
      <c r="M56" s="8" t="s">
        <v>30</v>
      </c>
    </row>
    <row r="57" spans="1:13" x14ac:dyDescent="0.3">
      <c r="A57" s="2" t="s">
        <v>114</v>
      </c>
      <c r="B57" t="s">
        <v>115</v>
      </c>
      <c r="C57" t="s">
        <v>15</v>
      </c>
      <c r="D57" t="s">
        <v>16</v>
      </c>
      <c r="E57" t="s">
        <v>24</v>
      </c>
      <c r="F57" t="s">
        <v>25</v>
      </c>
      <c r="G57" s="6">
        <v>5</v>
      </c>
      <c r="H57" s="3">
        <v>1299</v>
      </c>
      <c r="I57" s="3">
        <v>6495</v>
      </c>
      <c r="J57" s="4">
        <v>0</v>
      </c>
      <c r="K57" s="5">
        <v>33</v>
      </c>
      <c r="L57" t="s">
        <v>40</v>
      </c>
      <c r="M57" t="s">
        <v>30</v>
      </c>
    </row>
    <row r="58" spans="1:13" x14ac:dyDescent="0.3">
      <c r="A58" s="7" t="s">
        <v>116</v>
      </c>
      <c r="B58" s="8" t="s">
        <v>117</v>
      </c>
      <c r="C58" s="8" t="s">
        <v>35</v>
      </c>
      <c r="D58" s="8" t="s">
        <v>28</v>
      </c>
      <c r="E58" s="8" t="s">
        <v>17</v>
      </c>
      <c r="F58" s="8" t="s">
        <v>33</v>
      </c>
      <c r="G58" s="9">
        <v>4</v>
      </c>
      <c r="H58" s="10">
        <v>499</v>
      </c>
      <c r="I58" s="10">
        <v>1896.2</v>
      </c>
      <c r="J58" s="11">
        <v>5</v>
      </c>
      <c r="K58" s="12">
        <v>35</v>
      </c>
      <c r="L58" s="8" t="s">
        <v>19</v>
      </c>
      <c r="M58" s="8" t="s">
        <v>20</v>
      </c>
    </row>
    <row r="59" spans="1:13" x14ac:dyDescent="0.3">
      <c r="A59" s="2" t="s">
        <v>118</v>
      </c>
      <c r="B59" t="s">
        <v>119</v>
      </c>
      <c r="C59" t="s">
        <v>15</v>
      </c>
      <c r="D59" t="s">
        <v>28</v>
      </c>
      <c r="E59" t="s">
        <v>24</v>
      </c>
      <c r="F59" t="s">
        <v>36</v>
      </c>
      <c r="G59" s="6">
        <v>2</v>
      </c>
      <c r="H59" s="3">
        <v>899</v>
      </c>
      <c r="I59" s="3">
        <v>1708.1</v>
      </c>
      <c r="J59" s="4">
        <v>5</v>
      </c>
      <c r="K59" s="5">
        <v>33.1</v>
      </c>
      <c r="L59" t="s">
        <v>19</v>
      </c>
      <c r="M59" t="s">
        <v>30</v>
      </c>
    </row>
    <row r="60" spans="1:13" x14ac:dyDescent="0.3">
      <c r="A60" s="7" t="s">
        <v>120</v>
      </c>
      <c r="B60" s="8" t="s">
        <v>121</v>
      </c>
      <c r="C60" s="8" t="s">
        <v>35</v>
      </c>
      <c r="D60" s="8" t="s">
        <v>16</v>
      </c>
      <c r="E60" s="8" t="s">
        <v>24</v>
      </c>
      <c r="F60" s="8" t="s">
        <v>29</v>
      </c>
      <c r="G60" s="9">
        <v>1</v>
      </c>
      <c r="H60" s="10">
        <v>449</v>
      </c>
      <c r="I60" s="10">
        <v>449</v>
      </c>
      <c r="J60" s="11">
        <v>0</v>
      </c>
      <c r="K60" s="12">
        <v>32.1</v>
      </c>
      <c r="L60" s="8" t="s">
        <v>19</v>
      </c>
      <c r="M60" s="8" t="s">
        <v>30</v>
      </c>
    </row>
    <row r="61" spans="1:13" x14ac:dyDescent="0.3">
      <c r="A61" s="2" t="s">
        <v>122</v>
      </c>
      <c r="B61" t="s">
        <v>123</v>
      </c>
      <c r="C61" t="s">
        <v>23</v>
      </c>
      <c r="D61" t="s">
        <v>28</v>
      </c>
      <c r="E61" t="s">
        <v>24</v>
      </c>
      <c r="F61" t="s">
        <v>36</v>
      </c>
      <c r="G61" s="6">
        <v>2</v>
      </c>
      <c r="H61" s="3">
        <v>899</v>
      </c>
      <c r="I61" s="3">
        <v>1798</v>
      </c>
      <c r="J61" s="4">
        <v>0</v>
      </c>
      <c r="K61" s="5">
        <v>26.8</v>
      </c>
      <c r="L61" t="s">
        <v>19</v>
      </c>
      <c r="M61" t="s">
        <v>30</v>
      </c>
    </row>
    <row r="62" spans="1:13" x14ac:dyDescent="0.3">
      <c r="A62" s="7">
        <v>45176</v>
      </c>
      <c r="B62" s="8" t="s">
        <v>124</v>
      </c>
      <c r="C62" s="8" t="s">
        <v>23</v>
      </c>
      <c r="D62" s="8" t="s">
        <v>16</v>
      </c>
      <c r="E62" s="8" t="s">
        <v>17</v>
      </c>
      <c r="F62" s="8" t="s">
        <v>18</v>
      </c>
      <c r="G62" s="9">
        <v>1</v>
      </c>
      <c r="H62" s="10">
        <v>799</v>
      </c>
      <c r="I62" s="10">
        <v>799</v>
      </c>
      <c r="J62" s="11">
        <v>0</v>
      </c>
      <c r="K62" s="12">
        <v>31.6</v>
      </c>
      <c r="L62" s="8" t="s">
        <v>19</v>
      </c>
      <c r="M62" s="8" t="s">
        <v>30</v>
      </c>
    </row>
    <row r="63" spans="1:13" x14ac:dyDescent="0.3">
      <c r="A63" s="2">
        <v>44968</v>
      </c>
      <c r="B63" t="s">
        <v>125</v>
      </c>
      <c r="C63" t="s">
        <v>15</v>
      </c>
      <c r="D63" t="s">
        <v>16</v>
      </c>
      <c r="E63" t="s">
        <v>24</v>
      </c>
      <c r="F63" t="s">
        <v>29</v>
      </c>
      <c r="G63" s="6">
        <v>4</v>
      </c>
      <c r="H63" s="3">
        <v>449</v>
      </c>
      <c r="I63" s="3">
        <v>1796</v>
      </c>
      <c r="J63" s="4">
        <v>0</v>
      </c>
      <c r="K63" s="5">
        <v>25.6</v>
      </c>
      <c r="L63" t="s">
        <v>19</v>
      </c>
      <c r="M63" t="s">
        <v>30</v>
      </c>
    </row>
    <row r="64" spans="1:13" x14ac:dyDescent="0.3">
      <c r="A64" s="7">
        <v>45202</v>
      </c>
      <c r="B64" s="8" t="s">
        <v>126</v>
      </c>
      <c r="C64" s="8" t="s">
        <v>35</v>
      </c>
      <c r="D64" s="8" t="s">
        <v>16</v>
      </c>
      <c r="E64" s="8" t="s">
        <v>17</v>
      </c>
      <c r="F64" s="8" t="s">
        <v>18</v>
      </c>
      <c r="G64" s="9">
        <v>1</v>
      </c>
      <c r="H64" s="10">
        <v>799</v>
      </c>
      <c r="I64" s="10">
        <v>799</v>
      </c>
      <c r="J64" s="11">
        <v>0</v>
      </c>
      <c r="K64" s="12">
        <v>30.1</v>
      </c>
      <c r="L64" s="8" t="s">
        <v>40</v>
      </c>
      <c r="M64" s="8" t="s">
        <v>30</v>
      </c>
    </row>
    <row r="65" spans="1:13" x14ac:dyDescent="0.3">
      <c r="A65" s="2" t="s">
        <v>127</v>
      </c>
      <c r="B65" t="s">
        <v>128</v>
      </c>
      <c r="C65" t="s">
        <v>23</v>
      </c>
      <c r="D65" t="s">
        <v>28</v>
      </c>
      <c r="E65" t="s">
        <v>24</v>
      </c>
      <c r="F65" t="s">
        <v>29</v>
      </c>
      <c r="G65" s="6">
        <v>5</v>
      </c>
      <c r="H65" s="3">
        <v>449</v>
      </c>
      <c r="I65" s="3">
        <v>2132.75</v>
      </c>
      <c r="J65" s="4">
        <v>5</v>
      </c>
      <c r="K65" s="5">
        <v>29.5</v>
      </c>
      <c r="L65" t="s">
        <v>48</v>
      </c>
      <c r="M65" t="s">
        <v>20</v>
      </c>
    </row>
    <row r="66" spans="1:13" x14ac:dyDescent="0.3">
      <c r="A66" s="7">
        <v>45144</v>
      </c>
      <c r="B66" s="8" t="s">
        <v>129</v>
      </c>
      <c r="C66" s="8" t="s">
        <v>35</v>
      </c>
      <c r="D66" s="8" t="s">
        <v>16</v>
      </c>
      <c r="E66" s="8" t="s">
        <v>24</v>
      </c>
      <c r="F66" s="8" t="s">
        <v>36</v>
      </c>
      <c r="G66" s="9">
        <v>5</v>
      </c>
      <c r="H66" s="10">
        <v>899</v>
      </c>
      <c r="I66" s="10">
        <v>4270.25</v>
      </c>
      <c r="J66" s="11">
        <v>5</v>
      </c>
      <c r="K66" s="12">
        <v>32.299999999999997</v>
      </c>
      <c r="L66" s="8" t="s">
        <v>19</v>
      </c>
      <c r="M66" s="8" t="s">
        <v>20</v>
      </c>
    </row>
    <row r="67" spans="1:13" x14ac:dyDescent="0.3">
      <c r="A67" s="2" t="s">
        <v>130</v>
      </c>
      <c r="B67" t="s">
        <v>131</v>
      </c>
      <c r="C67" t="s">
        <v>23</v>
      </c>
      <c r="D67" t="s">
        <v>28</v>
      </c>
      <c r="E67" t="s">
        <v>24</v>
      </c>
      <c r="F67" t="s">
        <v>36</v>
      </c>
      <c r="G67" s="6">
        <v>4</v>
      </c>
      <c r="H67" s="3">
        <v>899</v>
      </c>
      <c r="I67" s="3">
        <v>3416.2</v>
      </c>
      <c r="J67" s="4">
        <v>5</v>
      </c>
      <c r="K67" s="5">
        <v>34.299999999999997</v>
      </c>
      <c r="L67" t="s">
        <v>19</v>
      </c>
      <c r="M67" t="s">
        <v>20</v>
      </c>
    </row>
    <row r="68" spans="1:13" x14ac:dyDescent="0.3">
      <c r="A68" s="7">
        <v>45242</v>
      </c>
      <c r="B68" s="8" t="s">
        <v>132</v>
      </c>
      <c r="C68" s="8" t="s">
        <v>15</v>
      </c>
      <c r="D68" s="8" t="s">
        <v>28</v>
      </c>
      <c r="E68" s="8" t="s">
        <v>17</v>
      </c>
      <c r="F68" s="8" t="s">
        <v>53</v>
      </c>
      <c r="G68" s="9">
        <v>5</v>
      </c>
      <c r="H68" s="10">
        <v>179</v>
      </c>
      <c r="I68" s="10">
        <v>895</v>
      </c>
      <c r="J68" s="11">
        <v>0</v>
      </c>
      <c r="K68" s="12">
        <v>34.799999999999997</v>
      </c>
      <c r="L68" s="8" t="s">
        <v>48</v>
      </c>
      <c r="M68" s="8" t="s">
        <v>30</v>
      </c>
    </row>
    <row r="69" spans="1:13" x14ac:dyDescent="0.3">
      <c r="A69" s="2">
        <v>45088</v>
      </c>
      <c r="B69" t="s">
        <v>133</v>
      </c>
      <c r="C69" t="s">
        <v>23</v>
      </c>
      <c r="D69" t="s">
        <v>16</v>
      </c>
      <c r="E69" t="s">
        <v>17</v>
      </c>
      <c r="F69" t="s">
        <v>33</v>
      </c>
      <c r="G69" s="6">
        <v>5</v>
      </c>
      <c r="H69" s="3">
        <v>499</v>
      </c>
      <c r="I69" s="3">
        <v>2495</v>
      </c>
      <c r="J69" s="4">
        <v>0</v>
      </c>
      <c r="K69" s="5">
        <v>33.1</v>
      </c>
      <c r="L69" t="s">
        <v>48</v>
      </c>
      <c r="M69" t="s">
        <v>30</v>
      </c>
    </row>
    <row r="70" spans="1:13" x14ac:dyDescent="0.3">
      <c r="A70" s="7" t="s">
        <v>134</v>
      </c>
      <c r="B70" s="8" t="s">
        <v>135</v>
      </c>
      <c r="C70" s="8" t="s">
        <v>23</v>
      </c>
      <c r="D70" s="8" t="s">
        <v>28</v>
      </c>
      <c r="E70" s="8" t="s">
        <v>17</v>
      </c>
      <c r="F70" s="8" t="s">
        <v>18</v>
      </c>
      <c r="G70" s="9">
        <v>2</v>
      </c>
      <c r="H70" s="10">
        <v>799</v>
      </c>
      <c r="I70" s="10">
        <v>1598</v>
      </c>
      <c r="J70" s="11">
        <v>0</v>
      </c>
      <c r="K70" s="12">
        <v>30</v>
      </c>
      <c r="L70" s="8" t="s">
        <v>19</v>
      </c>
      <c r="M70" s="8" t="s">
        <v>20</v>
      </c>
    </row>
    <row r="71" spans="1:13" x14ac:dyDescent="0.3">
      <c r="A71" s="2">
        <v>45268</v>
      </c>
      <c r="B71" t="s">
        <v>136</v>
      </c>
      <c r="C71" t="s">
        <v>35</v>
      </c>
      <c r="D71" t="s">
        <v>16</v>
      </c>
      <c r="E71" t="s">
        <v>17</v>
      </c>
      <c r="F71" t="s">
        <v>33</v>
      </c>
      <c r="G71" s="6">
        <v>2</v>
      </c>
      <c r="H71" s="3">
        <v>499</v>
      </c>
      <c r="I71" s="3">
        <v>998</v>
      </c>
      <c r="J71" s="4">
        <v>0</v>
      </c>
      <c r="K71" s="5">
        <v>34.9</v>
      </c>
      <c r="L71" t="s">
        <v>19</v>
      </c>
      <c r="M71" t="s">
        <v>30</v>
      </c>
    </row>
    <row r="72" spans="1:13" x14ac:dyDescent="0.3">
      <c r="A72" s="7" t="s">
        <v>137</v>
      </c>
      <c r="B72" s="8" t="s">
        <v>138</v>
      </c>
      <c r="C72" s="8" t="s">
        <v>35</v>
      </c>
      <c r="D72" s="8" t="s">
        <v>46</v>
      </c>
      <c r="E72" s="8" t="s">
        <v>24</v>
      </c>
      <c r="F72" s="8" t="s">
        <v>29</v>
      </c>
      <c r="G72" s="9">
        <v>2</v>
      </c>
      <c r="H72" s="10">
        <v>449</v>
      </c>
      <c r="I72" s="10">
        <v>898</v>
      </c>
      <c r="J72" s="11">
        <v>0</v>
      </c>
      <c r="K72" s="12">
        <v>25.6</v>
      </c>
      <c r="L72" s="8" t="s">
        <v>19</v>
      </c>
      <c r="M72" s="8" t="s">
        <v>30</v>
      </c>
    </row>
    <row r="73" spans="1:13" x14ac:dyDescent="0.3">
      <c r="A73" s="2">
        <v>45084</v>
      </c>
      <c r="B73" t="s">
        <v>139</v>
      </c>
      <c r="C73" t="s">
        <v>35</v>
      </c>
      <c r="D73" t="s">
        <v>46</v>
      </c>
      <c r="E73" t="s">
        <v>17</v>
      </c>
      <c r="F73" t="s">
        <v>33</v>
      </c>
      <c r="G73" s="6">
        <v>5</v>
      </c>
      <c r="H73" s="3">
        <v>499</v>
      </c>
      <c r="I73" s="3">
        <v>2495</v>
      </c>
      <c r="J73" s="4">
        <v>0</v>
      </c>
      <c r="K73" s="5">
        <v>32.5</v>
      </c>
      <c r="L73" t="s">
        <v>19</v>
      </c>
      <c r="M73" t="s">
        <v>20</v>
      </c>
    </row>
    <row r="74" spans="1:13" x14ac:dyDescent="0.3">
      <c r="A74" s="7" t="s">
        <v>140</v>
      </c>
      <c r="B74" s="8" t="s">
        <v>141</v>
      </c>
      <c r="C74" s="8" t="s">
        <v>23</v>
      </c>
      <c r="D74" s="8" t="s">
        <v>28</v>
      </c>
      <c r="E74" s="8" t="s">
        <v>17</v>
      </c>
      <c r="F74" s="8" t="s">
        <v>33</v>
      </c>
      <c r="G74" s="9">
        <v>4</v>
      </c>
      <c r="H74" s="10">
        <v>499</v>
      </c>
      <c r="I74" s="10">
        <v>1996</v>
      </c>
      <c r="J74" s="11">
        <v>0</v>
      </c>
      <c r="K74" s="12">
        <v>29.3</v>
      </c>
      <c r="L74" s="8" t="s">
        <v>19</v>
      </c>
      <c r="M74" s="8" t="s">
        <v>20</v>
      </c>
    </row>
    <row r="75" spans="1:13" x14ac:dyDescent="0.3">
      <c r="A75" s="2" t="s">
        <v>142</v>
      </c>
      <c r="B75" t="s">
        <v>143</v>
      </c>
      <c r="C75" t="s">
        <v>23</v>
      </c>
      <c r="D75" t="s">
        <v>28</v>
      </c>
      <c r="E75" t="s">
        <v>17</v>
      </c>
      <c r="F75" t="s">
        <v>33</v>
      </c>
      <c r="G75" s="6">
        <v>5</v>
      </c>
      <c r="H75" s="3">
        <v>499</v>
      </c>
      <c r="I75" s="3">
        <v>2495</v>
      </c>
      <c r="J75" s="4">
        <v>0</v>
      </c>
      <c r="K75" s="5">
        <v>30.9</v>
      </c>
      <c r="L75" t="s">
        <v>19</v>
      </c>
      <c r="M75" t="s">
        <v>30</v>
      </c>
    </row>
    <row r="76" spans="1:13" x14ac:dyDescent="0.3">
      <c r="A76" s="7" t="s">
        <v>144</v>
      </c>
      <c r="B76" s="8" t="s">
        <v>145</v>
      </c>
      <c r="C76" s="8" t="s">
        <v>15</v>
      </c>
      <c r="D76" s="8" t="s">
        <v>46</v>
      </c>
      <c r="E76" s="8" t="s">
        <v>24</v>
      </c>
      <c r="F76" s="8" t="s">
        <v>25</v>
      </c>
      <c r="G76" s="9">
        <v>2</v>
      </c>
      <c r="H76" s="10">
        <v>1299</v>
      </c>
      <c r="I76" s="10">
        <v>2598</v>
      </c>
      <c r="J76" s="11">
        <v>0</v>
      </c>
      <c r="K76" s="12">
        <v>28.2</v>
      </c>
      <c r="L76" s="8" t="s">
        <v>19</v>
      </c>
      <c r="M76" s="8" t="s">
        <v>30</v>
      </c>
    </row>
    <row r="77" spans="1:13" x14ac:dyDescent="0.3">
      <c r="A77" s="2" t="s">
        <v>146</v>
      </c>
      <c r="B77" t="s">
        <v>147</v>
      </c>
      <c r="C77" t="s">
        <v>15</v>
      </c>
      <c r="D77" t="s">
        <v>16</v>
      </c>
      <c r="E77" t="s">
        <v>17</v>
      </c>
      <c r="F77" t="s">
        <v>18</v>
      </c>
      <c r="G77" s="6">
        <v>2</v>
      </c>
      <c r="H77" s="3">
        <v>799</v>
      </c>
      <c r="I77" s="3">
        <v>1598</v>
      </c>
      <c r="J77" s="4">
        <v>0</v>
      </c>
      <c r="K77" s="5">
        <v>32.5</v>
      </c>
      <c r="L77" t="s">
        <v>19</v>
      </c>
      <c r="M77" t="s">
        <v>30</v>
      </c>
    </row>
    <row r="78" spans="1:13" x14ac:dyDescent="0.3">
      <c r="A78" s="7">
        <v>44990</v>
      </c>
      <c r="B78" s="8" t="s">
        <v>148</v>
      </c>
      <c r="C78" s="8" t="s">
        <v>23</v>
      </c>
      <c r="D78" s="8" t="s">
        <v>16</v>
      </c>
      <c r="E78" s="8" t="s">
        <v>24</v>
      </c>
      <c r="F78" s="8" t="s">
        <v>36</v>
      </c>
      <c r="G78" s="9">
        <v>1</v>
      </c>
      <c r="H78" s="10">
        <v>899</v>
      </c>
      <c r="I78" s="10">
        <v>899</v>
      </c>
      <c r="J78" s="11">
        <v>0</v>
      </c>
      <c r="K78" s="12">
        <v>31</v>
      </c>
      <c r="L78" s="8" t="s">
        <v>19</v>
      </c>
      <c r="M78" s="8" t="s">
        <v>30</v>
      </c>
    </row>
    <row r="79" spans="1:13" x14ac:dyDescent="0.3">
      <c r="A79" s="2" t="s">
        <v>149</v>
      </c>
      <c r="B79" t="s">
        <v>150</v>
      </c>
      <c r="C79" t="s">
        <v>35</v>
      </c>
      <c r="D79" t="s">
        <v>16</v>
      </c>
      <c r="E79" t="s">
        <v>17</v>
      </c>
      <c r="F79" t="s">
        <v>53</v>
      </c>
      <c r="G79" s="6">
        <v>3</v>
      </c>
      <c r="H79" s="3">
        <v>179</v>
      </c>
      <c r="I79" s="3">
        <v>537</v>
      </c>
      <c r="J79" s="4">
        <v>0</v>
      </c>
      <c r="K79" s="5">
        <v>25.9</v>
      </c>
      <c r="L79" t="s">
        <v>19</v>
      </c>
      <c r="M79" t="s">
        <v>20</v>
      </c>
    </row>
    <row r="80" spans="1:13" x14ac:dyDescent="0.3">
      <c r="A80" s="7" t="s">
        <v>151</v>
      </c>
      <c r="B80" s="8" t="s">
        <v>152</v>
      </c>
      <c r="C80" s="8" t="s">
        <v>35</v>
      </c>
      <c r="D80" s="8" t="s">
        <v>16</v>
      </c>
      <c r="E80" s="8" t="s">
        <v>17</v>
      </c>
      <c r="F80" s="8" t="s">
        <v>18</v>
      </c>
      <c r="G80" s="9">
        <v>2</v>
      </c>
      <c r="H80" s="10">
        <v>799</v>
      </c>
      <c r="I80" s="10">
        <v>1598</v>
      </c>
      <c r="J80" s="11">
        <v>0</v>
      </c>
      <c r="K80" s="12">
        <v>33</v>
      </c>
      <c r="L80" s="8" t="s">
        <v>19</v>
      </c>
      <c r="M80" s="8" t="s">
        <v>30</v>
      </c>
    </row>
    <row r="81" spans="1:13" x14ac:dyDescent="0.3">
      <c r="A81" s="2">
        <v>44965</v>
      </c>
      <c r="B81" t="s">
        <v>153</v>
      </c>
      <c r="C81" t="s">
        <v>35</v>
      </c>
      <c r="D81" t="s">
        <v>46</v>
      </c>
      <c r="E81" t="s">
        <v>17</v>
      </c>
      <c r="F81" t="s">
        <v>33</v>
      </c>
      <c r="G81" s="6">
        <v>5</v>
      </c>
      <c r="H81" s="3">
        <v>499</v>
      </c>
      <c r="I81" s="3">
        <v>2495</v>
      </c>
      <c r="J81" s="4">
        <v>0</v>
      </c>
      <c r="K81" s="5">
        <v>27.2</v>
      </c>
      <c r="L81" t="s">
        <v>48</v>
      </c>
      <c r="M81" t="s">
        <v>20</v>
      </c>
    </row>
    <row r="82" spans="1:13" x14ac:dyDescent="0.3">
      <c r="A82" s="7" t="s">
        <v>130</v>
      </c>
      <c r="B82" s="8" t="s">
        <v>154</v>
      </c>
      <c r="C82" s="8" t="s">
        <v>35</v>
      </c>
      <c r="D82" s="8" t="s">
        <v>28</v>
      </c>
      <c r="E82" s="8" t="s">
        <v>24</v>
      </c>
      <c r="F82" s="8" t="s">
        <v>25</v>
      </c>
      <c r="G82" s="9">
        <v>2</v>
      </c>
      <c r="H82" s="10">
        <v>1299</v>
      </c>
      <c r="I82" s="10">
        <v>2598</v>
      </c>
      <c r="J82" s="11">
        <v>0</v>
      </c>
      <c r="K82" s="12">
        <v>29.7</v>
      </c>
      <c r="L82" s="8" t="s">
        <v>19</v>
      </c>
      <c r="M82" s="8" t="s">
        <v>30</v>
      </c>
    </row>
    <row r="83" spans="1:13" x14ac:dyDescent="0.3">
      <c r="A83" s="2" t="s">
        <v>155</v>
      </c>
      <c r="B83" t="s">
        <v>156</v>
      </c>
      <c r="C83" t="s">
        <v>35</v>
      </c>
      <c r="D83" t="s">
        <v>16</v>
      </c>
      <c r="E83" t="s">
        <v>17</v>
      </c>
      <c r="F83" t="s">
        <v>33</v>
      </c>
      <c r="G83" s="6">
        <v>3</v>
      </c>
      <c r="H83" s="3">
        <v>499</v>
      </c>
      <c r="I83" s="3">
        <v>1497</v>
      </c>
      <c r="J83" s="4">
        <v>0</v>
      </c>
      <c r="K83" s="5">
        <v>33.1</v>
      </c>
      <c r="L83" t="s">
        <v>40</v>
      </c>
      <c r="M83" t="s">
        <v>20</v>
      </c>
    </row>
    <row r="84" spans="1:13" x14ac:dyDescent="0.3">
      <c r="A84" s="7" t="s">
        <v>157</v>
      </c>
      <c r="B84" s="8" t="s">
        <v>158</v>
      </c>
      <c r="C84" s="8" t="s">
        <v>35</v>
      </c>
      <c r="D84" s="8" t="s">
        <v>28</v>
      </c>
      <c r="E84" s="8" t="s">
        <v>17</v>
      </c>
      <c r="F84" s="8" t="s">
        <v>53</v>
      </c>
      <c r="G84" s="9">
        <v>1</v>
      </c>
      <c r="H84" s="10">
        <v>179</v>
      </c>
      <c r="I84" s="10">
        <v>179</v>
      </c>
      <c r="J84" s="11">
        <v>0</v>
      </c>
      <c r="K84" s="12">
        <v>25.9</v>
      </c>
      <c r="L84" s="8" t="s">
        <v>19</v>
      </c>
      <c r="M84" s="8" t="s">
        <v>30</v>
      </c>
    </row>
    <row r="85" spans="1:13" x14ac:dyDescent="0.3">
      <c r="A85" s="2" t="s">
        <v>159</v>
      </c>
      <c r="B85" t="s">
        <v>160</v>
      </c>
      <c r="C85" t="s">
        <v>15</v>
      </c>
      <c r="D85" t="s">
        <v>46</v>
      </c>
      <c r="E85" t="s">
        <v>17</v>
      </c>
      <c r="F85" t="s">
        <v>33</v>
      </c>
      <c r="G85" s="6">
        <v>4</v>
      </c>
      <c r="H85" s="3">
        <v>499</v>
      </c>
      <c r="I85" s="3">
        <v>1996</v>
      </c>
      <c r="J85" s="4">
        <v>0</v>
      </c>
      <c r="K85" s="5">
        <v>31.9</v>
      </c>
      <c r="L85" t="s">
        <v>19</v>
      </c>
      <c r="M85" t="s">
        <v>30</v>
      </c>
    </row>
    <row r="86" spans="1:13" x14ac:dyDescent="0.3">
      <c r="A86" s="7" t="s">
        <v>161</v>
      </c>
      <c r="B86" s="8" t="s">
        <v>162</v>
      </c>
      <c r="C86" s="8" t="s">
        <v>23</v>
      </c>
      <c r="D86" s="8" t="s">
        <v>16</v>
      </c>
      <c r="E86" s="8" t="s">
        <v>17</v>
      </c>
      <c r="F86" s="8" t="s">
        <v>53</v>
      </c>
      <c r="G86" s="9">
        <v>2</v>
      </c>
      <c r="H86" s="10">
        <v>179</v>
      </c>
      <c r="I86" s="10">
        <v>340.1</v>
      </c>
      <c r="J86" s="11">
        <v>5</v>
      </c>
      <c r="K86" s="12">
        <v>27.9</v>
      </c>
      <c r="L86" s="8" t="s">
        <v>19</v>
      </c>
      <c r="M86" s="8" t="s">
        <v>20</v>
      </c>
    </row>
    <row r="87" spans="1:13" x14ac:dyDescent="0.3">
      <c r="A87" s="2">
        <v>45231</v>
      </c>
      <c r="B87" t="s">
        <v>163</v>
      </c>
      <c r="C87" t="s">
        <v>35</v>
      </c>
      <c r="D87" t="s">
        <v>46</v>
      </c>
      <c r="E87" t="s">
        <v>17</v>
      </c>
      <c r="F87" t="s">
        <v>33</v>
      </c>
      <c r="G87" s="6">
        <v>1</v>
      </c>
      <c r="H87" s="3">
        <v>499</v>
      </c>
      <c r="I87" s="3">
        <v>499</v>
      </c>
      <c r="J87" s="4">
        <v>0</v>
      </c>
      <c r="K87" s="5">
        <v>27.2</v>
      </c>
      <c r="L87" t="s">
        <v>19</v>
      </c>
      <c r="M87" t="s">
        <v>20</v>
      </c>
    </row>
    <row r="88" spans="1:13" x14ac:dyDescent="0.3">
      <c r="A88" s="7">
        <v>45179</v>
      </c>
      <c r="B88" s="8" t="s">
        <v>164</v>
      </c>
      <c r="C88" s="8" t="s">
        <v>23</v>
      </c>
      <c r="D88" s="8" t="s">
        <v>16</v>
      </c>
      <c r="E88" s="8" t="s">
        <v>24</v>
      </c>
      <c r="F88" s="8" t="s">
        <v>25</v>
      </c>
      <c r="G88" s="9">
        <v>1</v>
      </c>
      <c r="H88" s="10">
        <v>1299</v>
      </c>
      <c r="I88" s="10">
        <v>1299</v>
      </c>
      <c r="J88" s="11">
        <v>0</v>
      </c>
      <c r="K88" s="12">
        <v>32.299999999999997</v>
      </c>
      <c r="L88" s="8" t="s">
        <v>40</v>
      </c>
      <c r="M88" s="8" t="s">
        <v>30</v>
      </c>
    </row>
    <row r="89" spans="1:13" x14ac:dyDescent="0.3">
      <c r="A89" s="2" t="s">
        <v>165</v>
      </c>
      <c r="B89" t="s">
        <v>166</v>
      </c>
      <c r="C89" t="s">
        <v>23</v>
      </c>
      <c r="D89" t="s">
        <v>16</v>
      </c>
      <c r="E89" t="s">
        <v>24</v>
      </c>
      <c r="F89" t="s">
        <v>29</v>
      </c>
      <c r="G89" s="6">
        <v>2</v>
      </c>
      <c r="H89" s="3">
        <v>449</v>
      </c>
      <c r="I89" s="3">
        <v>898</v>
      </c>
      <c r="J89" s="4">
        <v>0</v>
      </c>
      <c r="K89" s="5">
        <v>27.5</v>
      </c>
      <c r="L89" t="s">
        <v>19</v>
      </c>
      <c r="M89" t="s">
        <v>20</v>
      </c>
    </row>
    <row r="90" spans="1:13" x14ac:dyDescent="0.3">
      <c r="A90" s="7">
        <v>45206</v>
      </c>
      <c r="B90" s="8" t="s">
        <v>167</v>
      </c>
      <c r="C90" s="8" t="s">
        <v>23</v>
      </c>
      <c r="D90" s="8" t="s">
        <v>28</v>
      </c>
      <c r="E90" s="8" t="s">
        <v>17</v>
      </c>
      <c r="F90" s="8" t="s">
        <v>33</v>
      </c>
      <c r="G90" s="9">
        <v>2</v>
      </c>
      <c r="H90" s="10">
        <v>499</v>
      </c>
      <c r="I90" s="10">
        <v>998</v>
      </c>
      <c r="J90" s="11">
        <v>0</v>
      </c>
      <c r="K90" s="12">
        <v>29.1</v>
      </c>
      <c r="L90" s="8" t="s">
        <v>19</v>
      </c>
      <c r="M90" s="8" t="s">
        <v>30</v>
      </c>
    </row>
    <row r="91" spans="1:13" x14ac:dyDescent="0.3">
      <c r="A91" s="2">
        <v>45145</v>
      </c>
      <c r="B91" t="s">
        <v>168</v>
      </c>
      <c r="C91" t="s">
        <v>35</v>
      </c>
      <c r="D91" t="s">
        <v>16</v>
      </c>
      <c r="E91" t="s">
        <v>24</v>
      </c>
      <c r="F91" t="s">
        <v>25</v>
      </c>
      <c r="G91" s="6">
        <v>1</v>
      </c>
      <c r="H91" s="3">
        <v>1299</v>
      </c>
      <c r="I91" s="3">
        <v>1299</v>
      </c>
      <c r="J91" s="4">
        <v>0</v>
      </c>
      <c r="K91" s="5">
        <v>31.2</v>
      </c>
      <c r="L91" t="s">
        <v>19</v>
      </c>
      <c r="M91" t="s">
        <v>30</v>
      </c>
    </row>
    <row r="92" spans="1:13" x14ac:dyDescent="0.3">
      <c r="A92" s="7" t="s">
        <v>169</v>
      </c>
      <c r="B92" s="8" t="s">
        <v>170</v>
      </c>
      <c r="C92" s="8" t="s">
        <v>23</v>
      </c>
      <c r="D92" s="8" t="s">
        <v>46</v>
      </c>
      <c r="E92" s="8" t="s">
        <v>24</v>
      </c>
      <c r="F92" s="8" t="s">
        <v>36</v>
      </c>
      <c r="G92" s="9">
        <v>5</v>
      </c>
      <c r="H92" s="10">
        <v>899</v>
      </c>
      <c r="I92" s="10">
        <v>4495</v>
      </c>
      <c r="J92" s="11">
        <v>0</v>
      </c>
      <c r="K92" s="12">
        <v>34.799999999999997</v>
      </c>
      <c r="L92" s="8" t="s">
        <v>48</v>
      </c>
      <c r="M92" s="8" t="s">
        <v>20</v>
      </c>
    </row>
    <row r="93" spans="1:13" x14ac:dyDescent="0.3">
      <c r="A93" s="2" t="s">
        <v>140</v>
      </c>
      <c r="B93" t="s">
        <v>171</v>
      </c>
      <c r="C93" t="s">
        <v>15</v>
      </c>
      <c r="D93" t="s">
        <v>46</v>
      </c>
      <c r="E93" t="s">
        <v>24</v>
      </c>
      <c r="F93" t="s">
        <v>25</v>
      </c>
      <c r="G93" s="6">
        <v>1</v>
      </c>
      <c r="H93" s="3">
        <v>1299</v>
      </c>
      <c r="I93" s="3">
        <v>1299</v>
      </c>
      <c r="J93" s="4">
        <v>0</v>
      </c>
      <c r="K93" s="5">
        <v>27.8</v>
      </c>
      <c r="L93" t="s">
        <v>19</v>
      </c>
      <c r="M93" t="s">
        <v>30</v>
      </c>
    </row>
    <row r="94" spans="1:13" x14ac:dyDescent="0.3">
      <c r="A94" s="7">
        <v>45024</v>
      </c>
      <c r="B94" s="8" t="s">
        <v>172</v>
      </c>
      <c r="C94" s="8" t="s">
        <v>35</v>
      </c>
      <c r="D94" s="8" t="s">
        <v>16</v>
      </c>
      <c r="E94" s="8" t="s">
        <v>17</v>
      </c>
      <c r="F94" s="8" t="s">
        <v>53</v>
      </c>
      <c r="G94" s="9">
        <v>2</v>
      </c>
      <c r="H94" s="10">
        <v>179</v>
      </c>
      <c r="I94" s="10">
        <v>340.1</v>
      </c>
      <c r="J94" s="11">
        <v>5</v>
      </c>
      <c r="K94" s="12">
        <v>29.5</v>
      </c>
      <c r="L94" s="8" t="s">
        <v>19</v>
      </c>
      <c r="M94" s="8" t="s">
        <v>30</v>
      </c>
    </row>
    <row r="95" spans="1:13" x14ac:dyDescent="0.3">
      <c r="A95" s="2">
        <v>45118</v>
      </c>
      <c r="B95" t="s">
        <v>173</v>
      </c>
      <c r="C95" t="s">
        <v>35</v>
      </c>
      <c r="D95" t="s">
        <v>28</v>
      </c>
      <c r="E95" t="s">
        <v>24</v>
      </c>
      <c r="F95" t="s">
        <v>25</v>
      </c>
      <c r="G95" s="6">
        <v>2</v>
      </c>
      <c r="H95" s="3">
        <v>1299</v>
      </c>
      <c r="I95" s="3">
        <v>2598</v>
      </c>
      <c r="J95" s="4">
        <v>0</v>
      </c>
      <c r="K95" s="5">
        <v>25.5</v>
      </c>
      <c r="L95" t="s">
        <v>19</v>
      </c>
      <c r="M95" t="s">
        <v>30</v>
      </c>
    </row>
    <row r="96" spans="1:13" x14ac:dyDescent="0.3">
      <c r="A96" s="7">
        <v>45018</v>
      </c>
      <c r="B96" s="8" t="s">
        <v>174</v>
      </c>
      <c r="C96" s="8" t="s">
        <v>23</v>
      </c>
      <c r="D96" s="8" t="s">
        <v>46</v>
      </c>
      <c r="E96" s="8" t="s">
        <v>17</v>
      </c>
      <c r="F96" s="8" t="s">
        <v>33</v>
      </c>
      <c r="G96" s="9">
        <v>4</v>
      </c>
      <c r="H96" s="10">
        <v>499</v>
      </c>
      <c r="I96" s="10">
        <v>1996</v>
      </c>
      <c r="J96" s="11">
        <v>0</v>
      </c>
      <c r="K96" s="12">
        <v>29</v>
      </c>
      <c r="L96" s="8" t="s">
        <v>19</v>
      </c>
      <c r="M96" s="8" t="s">
        <v>30</v>
      </c>
    </row>
    <row r="97" spans="1:13" x14ac:dyDescent="0.3">
      <c r="A97" s="2" t="s">
        <v>105</v>
      </c>
      <c r="B97" t="s">
        <v>175</v>
      </c>
      <c r="C97" t="s">
        <v>15</v>
      </c>
      <c r="D97" t="s">
        <v>16</v>
      </c>
      <c r="E97" t="s">
        <v>17</v>
      </c>
      <c r="F97" t="s">
        <v>53</v>
      </c>
      <c r="G97" s="6">
        <v>1</v>
      </c>
      <c r="H97" s="3">
        <v>179</v>
      </c>
      <c r="I97" s="3">
        <v>179</v>
      </c>
      <c r="J97" s="4">
        <v>0</v>
      </c>
      <c r="K97" s="5">
        <v>26.8</v>
      </c>
      <c r="L97" t="s">
        <v>48</v>
      </c>
      <c r="M97" t="s">
        <v>30</v>
      </c>
    </row>
    <row r="98" spans="1:13" x14ac:dyDescent="0.3">
      <c r="A98" s="7" t="s">
        <v>176</v>
      </c>
      <c r="B98" s="8" t="s">
        <v>177</v>
      </c>
      <c r="C98" s="8" t="s">
        <v>35</v>
      </c>
      <c r="D98" s="8" t="s">
        <v>16</v>
      </c>
      <c r="E98" s="8" t="s">
        <v>17</v>
      </c>
      <c r="F98" s="8" t="s">
        <v>53</v>
      </c>
      <c r="G98" s="9">
        <v>5</v>
      </c>
      <c r="H98" s="10">
        <v>179</v>
      </c>
      <c r="I98" s="10">
        <v>895</v>
      </c>
      <c r="J98" s="11">
        <v>0</v>
      </c>
      <c r="K98" s="12">
        <v>28.9</v>
      </c>
      <c r="L98" s="8" t="s">
        <v>48</v>
      </c>
      <c r="M98" s="8" t="s">
        <v>20</v>
      </c>
    </row>
    <row r="99" spans="1:13" x14ac:dyDescent="0.3">
      <c r="A99" s="2" t="s">
        <v>88</v>
      </c>
      <c r="B99" t="s">
        <v>178</v>
      </c>
      <c r="C99" t="s">
        <v>15</v>
      </c>
      <c r="D99" t="s">
        <v>28</v>
      </c>
      <c r="E99" t="s">
        <v>24</v>
      </c>
      <c r="F99" t="s">
        <v>29</v>
      </c>
      <c r="G99" s="6">
        <v>4</v>
      </c>
      <c r="H99" s="3">
        <v>449</v>
      </c>
      <c r="I99" s="3">
        <v>1796</v>
      </c>
      <c r="J99" s="4">
        <v>0</v>
      </c>
      <c r="K99" s="5">
        <v>33.4</v>
      </c>
      <c r="L99" t="s">
        <v>19</v>
      </c>
      <c r="M99" t="s">
        <v>30</v>
      </c>
    </row>
    <row r="100" spans="1:13" x14ac:dyDescent="0.3">
      <c r="A100" s="7">
        <v>45081</v>
      </c>
      <c r="B100" s="8" t="s">
        <v>179</v>
      </c>
      <c r="C100" s="8" t="s">
        <v>23</v>
      </c>
      <c r="D100" s="8" t="s">
        <v>46</v>
      </c>
      <c r="E100" s="8" t="s">
        <v>24</v>
      </c>
      <c r="F100" s="8" t="s">
        <v>36</v>
      </c>
      <c r="G100" s="9">
        <v>3</v>
      </c>
      <c r="H100" s="10">
        <v>899</v>
      </c>
      <c r="I100" s="10">
        <v>2697</v>
      </c>
      <c r="J100" s="11">
        <v>0</v>
      </c>
      <c r="K100" s="12">
        <v>25.7</v>
      </c>
      <c r="L100" s="8" t="s">
        <v>19</v>
      </c>
      <c r="M100" s="8" t="s">
        <v>30</v>
      </c>
    </row>
    <row r="101" spans="1:13" x14ac:dyDescent="0.3">
      <c r="A101" s="2">
        <v>45268</v>
      </c>
      <c r="B101" t="s">
        <v>180</v>
      </c>
      <c r="C101" t="s">
        <v>35</v>
      </c>
      <c r="D101" t="s">
        <v>46</v>
      </c>
      <c r="E101" t="s">
        <v>17</v>
      </c>
      <c r="F101" t="s">
        <v>18</v>
      </c>
      <c r="G101" s="6">
        <v>5</v>
      </c>
      <c r="H101" s="3">
        <v>799</v>
      </c>
      <c r="I101" s="3">
        <v>3795.25</v>
      </c>
      <c r="J101" s="4">
        <v>5</v>
      </c>
      <c r="K101" s="5">
        <v>33.4</v>
      </c>
      <c r="L101" t="s">
        <v>19</v>
      </c>
      <c r="M101" t="s">
        <v>30</v>
      </c>
    </row>
    <row r="102" spans="1:13" x14ac:dyDescent="0.3">
      <c r="A102" s="7">
        <v>45078</v>
      </c>
      <c r="B102" s="8" t="s">
        <v>181</v>
      </c>
      <c r="C102" s="8" t="s">
        <v>23</v>
      </c>
      <c r="D102" s="8" t="s">
        <v>28</v>
      </c>
      <c r="E102" s="8" t="s">
        <v>17</v>
      </c>
      <c r="F102" s="8" t="s">
        <v>18</v>
      </c>
      <c r="G102" s="9">
        <v>5</v>
      </c>
      <c r="H102" s="10">
        <v>799</v>
      </c>
      <c r="I102" s="10">
        <v>3795.25</v>
      </c>
      <c r="J102" s="11">
        <v>5</v>
      </c>
      <c r="K102" s="12">
        <v>28.2</v>
      </c>
      <c r="L102" s="8" t="s">
        <v>48</v>
      </c>
      <c r="M102" s="8" t="s">
        <v>20</v>
      </c>
    </row>
    <row r="103" spans="1:13" x14ac:dyDescent="0.3">
      <c r="A103" s="2">
        <v>45240</v>
      </c>
      <c r="B103" t="s">
        <v>182</v>
      </c>
      <c r="C103" t="s">
        <v>23</v>
      </c>
      <c r="D103" t="s">
        <v>16</v>
      </c>
      <c r="E103" t="s">
        <v>17</v>
      </c>
      <c r="F103" t="s">
        <v>53</v>
      </c>
      <c r="G103" s="6">
        <v>5</v>
      </c>
      <c r="H103" s="3">
        <v>179</v>
      </c>
      <c r="I103" s="3">
        <v>895</v>
      </c>
      <c r="J103" s="4">
        <v>0</v>
      </c>
      <c r="K103" s="5">
        <v>30.8</v>
      </c>
      <c r="L103" t="s">
        <v>19</v>
      </c>
      <c r="M103" t="s">
        <v>30</v>
      </c>
    </row>
    <row r="104" spans="1:13" x14ac:dyDescent="0.3">
      <c r="A104" s="7" t="s">
        <v>65</v>
      </c>
      <c r="B104" s="8" t="s">
        <v>183</v>
      </c>
      <c r="C104" s="8" t="s">
        <v>23</v>
      </c>
      <c r="D104" s="8" t="s">
        <v>46</v>
      </c>
      <c r="E104" s="8" t="s">
        <v>17</v>
      </c>
      <c r="F104" s="8" t="s">
        <v>18</v>
      </c>
      <c r="G104" s="9">
        <v>1</v>
      </c>
      <c r="H104" s="10">
        <v>799</v>
      </c>
      <c r="I104" s="10">
        <v>799</v>
      </c>
      <c r="J104" s="11">
        <v>0</v>
      </c>
      <c r="K104" s="12">
        <v>33.1</v>
      </c>
      <c r="L104" s="8" t="s">
        <v>19</v>
      </c>
      <c r="M104" s="8" t="s">
        <v>20</v>
      </c>
    </row>
    <row r="105" spans="1:13" x14ac:dyDescent="0.3">
      <c r="A105" s="2" t="s">
        <v>184</v>
      </c>
      <c r="B105" t="s">
        <v>185</v>
      </c>
      <c r="C105" t="s">
        <v>35</v>
      </c>
      <c r="D105" t="s">
        <v>16</v>
      </c>
      <c r="E105" t="s">
        <v>24</v>
      </c>
      <c r="F105" t="s">
        <v>25</v>
      </c>
      <c r="G105" s="6">
        <v>5</v>
      </c>
      <c r="H105" s="3">
        <v>1299</v>
      </c>
      <c r="I105" s="3">
        <v>6170.25</v>
      </c>
      <c r="J105" s="4">
        <v>5</v>
      </c>
      <c r="K105" s="5">
        <v>26.9</v>
      </c>
      <c r="L105" t="s">
        <v>40</v>
      </c>
      <c r="M105" t="s">
        <v>20</v>
      </c>
    </row>
    <row r="106" spans="1:13" x14ac:dyDescent="0.3">
      <c r="A106" s="7">
        <v>45078</v>
      </c>
      <c r="B106" s="8" t="s">
        <v>186</v>
      </c>
      <c r="C106" s="8" t="s">
        <v>15</v>
      </c>
      <c r="D106" s="8" t="s">
        <v>28</v>
      </c>
      <c r="E106" s="8" t="s">
        <v>24</v>
      </c>
      <c r="F106" s="8" t="s">
        <v>36</v>
      </c>
      <c r="G106" s="9">
        <v>3</v>
      </c>
      <c r="H106" s="10">
        <v>899</v>
      </c>
      <c r="I106" s="10">
        <v>2562.15</v>
      </c>
      <c r="J106" s="11">
        <v>5</v>
      </c>
      <c r="K106" s="12">
        <v>30.1</v>
      </c>
      <c r="L106" s="8" t="s">
        <v>48</v>
      </c>
      <c r="M106" s="8" t="s">
        <v>30</v>
      </c>
    </row>
    <row r="107" spans="1:13" x14ac:dyDescent="0.3">
      <c r="A107" s="2" t="s">
        <v>130</v>
      </c>
      <c r="B107" t="s">
        <v>187</v>
      </c>
      <c r="C107" t="s">
        <v>35</v>
      </c>
      <c r="D107" t="s">
        <v>46</v>
      </c>
      <c r="E107" t="s">
        <v>17</v>
      </c>
      <c r="F107" t="s">
        <v>33</v>
      </c>
      <c r="G107" s="6">
        <v>3</v>
      </c>
      <c r="H107" s="3">
        <v>499</v>
      </c>
      <c r="I107" s="3">
        <v>1497</v>
      </c>
      <c r="J107" s="4">
        <v>0</v>
      </c>
      <c r="K107" s="5">
        <v>33.5</v>
      </c>
      <c r="L107" t="s">
        <v>19</v>
      </c>
      <c r="M107" t="s">
        <v>30</v>
      </c>
    </row>
    <row r="108" spans="1:13" x14ac:dyDescent="0.3">
      <c r="A108" s="7" t="s">
        <v>188</v>
      </c>
      <c r="B108" s="8" t="s">
        <v>189</v>
      </c>
      <c r="C108" s="8" t="s">
        <v>15</v>
      </c>
      <c r="D108" s="8" t="s">
        <v>16</v>
      </c>
      <c r="E108" s="8" t="s">
        <v>24</v>
      </c>
      <c r="F108" s="8" t="s">
        <v>36</v>
      </c>
      <c r="G108" s="9">
        <v>2</v>
      </c>
      <c r="H108" s="10">
        <v>899</v>
      </c>
      <c r="I108" s="10">
        <v>1798</v>
      </c>
      <c r="J108" s="11">
        <v>0</v>
      </c>
      <c r="K108" s="12">
        <v>25.6</v>
      </c>
      <c r="L108" s="8" t="s">
        <v>19</v>
      </c>
      <c r="M108" s="8" t="s">
        <v>30</v>
      </c>
    </row>
    <row r="109" spans="1:13" x14ac:dyDescent="0.3">
      <c r="A109" s="2" t="s">
        <v>190</v>
      </c>
      <c r="B109" t="s">
        <v>191</v>
      </c>
      <c r="C109" t="s">
        <v>35</v>
      </c>
      <c r="D109" t="s">
        <v>16</v>
      </c>
      <c r="E109" t="s">
        <v>24</v>
      </c>
      <c r="F109" t="s">
        <v>29</v>
      </c>
      <c r="G109" s="6">
        <v>4</v>
      </c>
      <c r="H109" s="3">
        <v>449</v>
      </c>
      <c r="I109" s="3">
        <v>1796</v>
      </c>
      <c r="J109" s="4">
        <v>0</v>
      </c>
      <c r="K109" s="5">
        <v>32.6</v>
      </c>
      <c r="L109" t="s">
        <v>19</v>
      </c>
      <c r="M109" t="s">
        <v>20</v>
      </c>
    </row>
    <row r="110" spans="1:13" x14ac:dyDescent="0.3">
      <c r="A110" s="7" t="s">
        <v>192</v>
      </c>
      <c r="B110" s="8" t="s">
        <v>193</v>
      </c>
      <c r="C110" s="8" t="s">
        <v>15</v>
      </c>
      <c r="D110" s="8" t="s">
        <v>46</v>
      </c>
      <c r="E110" s="8" t="s">
        <v>17</v>
      </c>
      <c r="F110" s="8" t="s">
        <v>53</v>
      </c>
      <c r="G110" s="9">
        <v>1</v>
      </c>
      <c r="H110" s="10">
        <v>179</v>
      </c>
      <c r="I110" s="10">
        <v>170.05</v>
      </c>
      <c r="J110" s="11">
        <v>5</v>
      </c>
      <c r="K110" s="12">
        <v>25</v>
      </c>
      <c r="L110" s="8" t="s">
        <v>19</v>
      </c>
      <c r="M110" s="8" t="s">
        <v>20</v>
      </c>
    </row>
    <row r="111" spans="1:13" x14ac:dyDescent="0.3">
      <c r="A111" s="2">
        <v>45082</v>
      </c>
      <c r="B111" t="s">
        <v>194</v>
      </c>
      <c r="C111" t="s">
        <v>23</v>
      </c>
      <c r="D111" t="s">
        <v>46</v>
      </c>
      <c r="E111" t="s">
        <v>24</v>
      </c>
      <c r="F111" t="s">
        <v>36</v>
      </c>
      <c r="G111" s="6">
        <v>2</v>
      </c>
      <c r="H111" s="3">
        <v>899</v>
      </c>
      <c r="I111" s="3">
        <v>1798</v>
      </c>
      <c r="J111" s="4">
        <v>0</v>
      </c>
      <c r="K111" s="5">
        <v>32.4</v>
      </c>
      <c r="L111" t="s">
        <v>19</v>
      </c>
      <c r="M111" t="s">
        <v>20</v>
      </c>
    </row>
    <row r="112" spans="1:13" x14ac:dyDescent="0.3">
      <c r="A112" s="7">
        <v>45142</v>
      </c>
      <c r="B112" s="8" t="s">
        <v>195</v>
      </c>
      <c r="C112" s="8" t="s">
        <v>15</v>
      </c>
      <c r="D112" s="8" t="s">
        <v>16</v>
      </c>
      <c r="E112" s="8" t="s">
        <v>24</v>
      </c>
      <c r="F112" s="8" t="s">
        <v>36</v>
      </c>
      <c r="G112" s="9">
        <v>5</v>
      </c>
      <c r="H112" s="10">
        <v>899</v>
      </c>
      <c r="I112" s="10">
        <v>4495</v>
      </c>
      <c r="J112" s="11">
        <v>0</v>
      </c>
      <c r="K112" s="12">
        <v>28.4</v>
      </c>
      <c r="L112" s="8" t="s">
        <v>48</v>
      </c>
      <c r="M112" s="8" t="s">
        <v>30</v>
      </c>
    </row>
    <row r="113" spans="1:13" x14ac:dyDescent="0.3">
      <c r="A113" s="2" t="s">
        <v>196</v>
      </c>
      <c r="B113" t="s">
        <v>197</v>
      </c>
      <c r="C113" t="s">
        <v>35</v>
      </c>
      <c r="D113" t="s">
        <v>16</v>
      </c>
      <c r="E113" t="s">
        <v>24</v>
      </c>
      <c r="F113" t="s">
        <v>25</v>
      </c>
      <c r="G113" s="6">
        <v>4</v>
      </c>
      <c r="H113" s="3">
        <v>1299</v>
      </c>
      <c r="I113" s="3">
        <v>5196</v>
      </c>
      <c r="J113" s="4">
        <v>0</v>
      </c>
      <c r="K113" s="5">
        <v>34.6</v>
      </c>
      <c r="L113" t="s">
        <v>19</v>
      </c>
      <c r="M113" t="s">
        <v>30</v>
      </c>
    </row>
    <row r="114" spans="1:13" x14ac:dyDescent="0.3">
      <c r="A114" s="7" t="s">
        <v>198</v>
      </c>
      <c r="B114" s="8" t="s">
        <v>199</v>
      </c>
      <c r="C114" s="8" t="s">
        <v>35</v>
      </c>
      <c r="D114" s="8" t="s">
        <v>46</v>
      </c>
      <c r="E114" s="8" t="s">
        <v>17</v>
      </c>
      <c r="F114" s="8" t="s">
        <v>18</v>
      </c>
      <c r="G114" s="9">
        <v>4</v>
      </c>
      <c r="H114" s="10">
        <v>799</v>
      </c>
      <c r="I114" s="10">
        <v>3036.2</v>
      </c>
      <c r="J114" s="11">
        <v>5</v>
      </c>
      <c r="K114" s="12">
        <v>31.7</v>
      </c>
      <c r="L114" s="8" t="s">
        <v>19</v>
      </c>
      <c r="M114" s="8" t="s">
        <v>20</v>
      </c>
    </row>
    <row r="115" spans="1:13" x14ac:dyDescent="0.3">
      <c r="A115" s="2">
        <v>45083</v>
      </c>
      <c r="B115" t="s">
        <v>200</v>
      </c>
      <c r="C115" t="s">
        <v>23</v>
      </c>
      <c r="D115" t="s">
        <v>16</v>
      </c>
      <c r="E115" t="s">
        <v>24</v>
      </c>
      <c r="F115" t="s">
        <v>29</v>
      </c>
      <c r="G115" s="6">
        <v>3</v>
      </c>
      <c r="H115" s="3">
        <v>449</v>
      </c>
      <c r="I115" s="3">
        <v>1347</v>
      </c>
      <c r="J115" s="4">
        <v>0</v>
      </c>
      <c r="K115" s="5">
        <v>33.9</v>
      </c>
      <c r="L115" t="s">
        <v>48</v>
      </c>
      <c r="M115" t="s">
        <v>30</v>
      </c>
    </row>
    <row r="116" spans="1:13" x14ac:dyDescent="0.3">
      <c r="A116" s="7">
        <v>45058</v>
      </c>
      <c r="B116" s="8" t="s">
        <v>201</v>
      </c>
      <c r="C116" s="8" t="s">
        <v>15</v>
      </c>
      <c r="D116" s="8" t="s">
        <v>28</v>
      </c>
      <c r="E116" s="8" t="s">
        <v>24</v>
      </c>
      <c r="F116" s="8" t="s">
        <v>25</v>
      </c>
      <c r="G116" s="9">
        <v>4</v>
      </c>
      <c r="H116" s="10">
        <v>1299</v>
      </c>
      <c r="I116" s="10">
        <v>5196</v>
      </c>
      <c r="J116" s="11">
        <v>0</v>
      </c>
      <c r="K116" s="12">
        <v>27.4</v>
      </c>
      <c r="L116" s="8" t="s">
        <v>19</v>
      </c>
      <c r="M116" s="8" t="s">
        <v>30</v>
      </c>
    </row>
    <row r="117" spans="1:13" x14ac:dyDescent="0.3">
      <c r="A117" s="2" t="s">
        <v>202</v>
      </c>
      <c r="B117" t="s">
        <v>203</v>
      </c>
      <c r="C117" t="s">
        <v>23</v>
      </c>
      <c r="D117" t="s">
        <v>16</v>
      </c>
      <c r="E117" t="s">
        <v>17</v>
      </c>
      <c r="F117" t="s">
        <v>18</v>
      </c>
      <c r="G117" s="6">
        <v>4</v>
      </c>
      <c r="H117" s="3">
        <v>799</v>
      </c>
      <c r="I117" s="3">
        <v>3036.2</v>
      </c>
      <c r="J117" s="4">
        <v>5</v>
      </c>
      <c r="K117" s="5">
        <v>29.3</v>
      </c>
      <c r="L117" t="s">
        <v>19</v>
      </c>
      <c r="M117" t="s">
        <v>20</v>
      </c>
    </row>
    <row r="118" spans="1:13" x14ac:dyDescent="0.3">
      <c r="A118" s="7" t="s">
        <v>204</v>
      </c>
      <c r="B118" s="8" t="s">
        <v>205</v>
      </c>
      <c r="C118" s="8" t="s">
        <v>23</v>
      </c>
      <c r="D118" s="8" t="s">
        <v>16</v>
      </c>
      <c r="E118" s="8" t="s">
        <v>17</v>
      </c>
      <c r="F118" s="8" t="s">
        <v>18</v>
      </c>
      <c r="G118" s="9">
        <v>5</v>
      </c>
      <c r="H118" s="10">
        <v>799</v>
      </c>
      <c r="I118" s="10">
        <v>3995</v>
      </c>
      <c r="J118" s="11">
        <v>0</v>
      </c>
      <c r="K118" s="12">
        <v>33.299999999999997</v>
      </c>
      <c r="L118" s="8" t="s">
        <v>19</v>
      </c>
      <c r="M118" s="8" t="s">
        <v>30</v>
      </c>
    </row>
    <row r="119" spans="1:13" x14ac:dyDescent="0.3">
      <c r="A119" s="2" t="s">
        <v>206</v>
      </c>
      <c r="B119" t="s">
        <v>207</v>
      </c>
      <c r="C119" t="s">
        <v>23</v>
      </c>
      <c r="D119" t="s">
        <v>28</v>
      </c>
      <c r="E119" t="s">
        <v>24</v>
      </c>
      <c r="F119" t="s">
        <v>36</v>
      </c>
      <c r="G119" s="6">
        <v>1</v>
      </c>
      <c r="H119" s="3">
        <v>899</v>
      </c>
      <c r="I119" s="3">
        <v>899</v>
      </c>
      <c r="J119" s="4">
        <v>0</v>
      </c>
      <c r="K119" s="5">
        <v>29.1</v>
      </c>
      <c r="L119" t="s">
        <v>19</v>
      </c>
      <c r="M119" t="s">
        <v>20</v>
      </c>
    </row>
    <row r="120" spans="1:13" x14ac:dyDescent="0.3">
      <c r="A120" s="7" t="s">
        <v>208</v>
      </c>
      <c r="B120" s="8" t="s">
        <v>209</v>
      </c>
      <c r="C120" s="8" t="s">
        <v>23</v>
      </c>
      <c r="D120" s="8" t="s">
        <v>46</v>
      </c>
      <c r="E120" s="8" t="s">
        <v>17</v>
      </c>
      <c r="F120" s="8" t="s">
        <v>33</v>
      </c>
      <c r="G120" s="9">
        <v>1</v>
      </c>
      <c r="H120" s="10">
        <v>499</v>
      </c>
      <c r="I120" s="10">
        <v>499</v>
      </c>
      <c r="J120" s="11">
        <v>0</v>
      </c>
      <c r="K120" s="12">
        <v>28.4</v>
      </c>
      <c r="L120" s="8" t="s">
        <v>19</v>
      </c>
      <c r="M120" s="8" t="s">
        <v>30</v>
      </c>
    </row>
    <row r="121" spans="1:13" x14ac:dyDescent="0.3">
      <c r="A121" s="2">
        <v>45084</v>
      </c>
      <c r="B121" t="s">
        <v>210</v>
      </c>
      <c r="C121" t="s">
        <v>23</v>
      </c>
      <c r="D121" t="s">
        <v>28</v>
      </c>
      <c r="E121" t="s">
        <v>17</v>
      </c>
      <c r="F121" t="s">
        <v>53</v>
      </c>
      <c r="G121" s="6">
        <v>4</v>
      </c>
      <c r="H121" s="3">
        <v>179</v>
      </c>
      <c r="I121" s="3">
        <v>680.2</v>
      </c>
      <c r="J121" s="4">
        <v>5</v>
      </c>
      <c r="K121" s="5">
        <v>30.4</v>
      </c>
      <c r="L121" t="s">
        <v>48</v>
      </c>
      <c r="M121" t="s">
        <v>30</v>
      </c>
    </row>
    <row r="122" spans="1:13" x14ac:dyDescent="0.3">
      <c r="A122" s="7" t="s">
        <v>211</v>
      </c>
      <c r="B122" s="8" t="s">
        <v>212</v>
      </c>
      <c r="C122" s="8" t="s">
        <v>35</v>
      </c>
      <c r="D122" s="8" t="s">
        <v>46</v>
      </c>
      <c r="E122" s="8" t="s">
        <v>17</v>
      </c>
      <c r="F122" s="8" t="s">
        <v>18</v>
      </c>
      <c r="G122" s="9">
        <v>5</v>
      </c>
      <c r="H122" s="10">
        <v>799</v>
      </c>
      <c r="I122" s="10">
        <v>3995</v>
      </c>
      <c r="J122" s="11">
        <v>0</v>
      </c>
      <c r="K122" s="12">
        <v>31.2</v>
      </c>
      <c r="L122" s="8" t="s">
        <v>19</v>
      </c>
      <c r="M122" s="8" t="s">
        <v>20</v>
      </c>
    </row>
    <row r="123" spans="1:13" x14ac:dyDescent="0.3">
      <c r="A123" s="2" t="s">
        <v>213</v>
      </c>
      <c r="B123" t="s">
        <v>214</v>
      </c>
      <c r="C123" t="s">
        <v>15</v>
      </c>
      <c r="D123" t="s">
        <v>28</v>
      </c>
      <c r="E123" t="s">
        <v>17</v>
      </c>
      <c r="F123" t="s">
        <v>33</v>
      </c>
      <c r="G123" s="6">
        <v>2</v>
      </c>
      <c r="H123" s="3">
        <v>499</v>
      </c>
      <c r="I123" s="3">
        <v>948.1</v>
      </c>
      <c r="J123" s="4">
        <v>5</v>
      </c>
      <c r="K123" s="5">
        <v>33.700000000000003</v>
      </c>
      <c r="L123" t="s">
        <v>40</v>
      </c>
      <c r="M123" t="s">
        <v>20</v>
      </c>
    </row>
    <row r="124" spans="1:13" x14ac:dyDescent="0.3">
      <c r="A124" s="7" t="s">
        <v>215</v>
      </c>
      <c r="B124" s="8" t="s">
        <v>216</v>
      </c>
      <c r="C124" s="8" t="s">
        <v>35</v>
      </c>
      <c r="D124" s="8" t="s">
        <v>28</v>
      </c>
      <c r="E124" s="8" t="s">
        <v>24</v>
      </c>
      <c r="F124" s="8" t="s">
        <v>29</v>
      </c>
      <c r="G124" s="9">
        <v>3</v>
      </c>
      <c r="H124" s="10">
        <v>449</v>
      </c>
      <c r="I124" s="10">
        <v>1347</v>
      </c>
      <c r="J124" s="11">
        <v>0</v>
      </c>
      <c r="K124" s="12">
        <v>30.3</v>
      </c>
      <c r="L124" s="8" t="s">
        <v>19</v>
      </c>
      <c r="M124" s="8" t="s">
        <v>20</v>
      </c>
    </row>
    <row r="125" spans="1:13" x14ac:dyDescent="0.3">
      <c r="A125" s="2" t="s">
        <v>107</v>
      </c>
      <c r="B125" t="s">
        <v>217</v>
      </c>
      <c r="C125" t="s">
        <v>15</v>
      </c>
      <c r="D125" t="s">
        <v>28</v>
      </c>
      <c r="E125" t="s">
        <v>24</v>
      </c>
      <c r="F125" t="s">
        <v>25</v>
      </c>
      <c r="G125" s="6">
        <v>1</v>
      </c>
      <c r="H125" s="3">
        <v>1299</v>
      </c>
      <c r="I125" s="3">
        <v>1234.05</v>
      </c>
      <c r="J125" s="4">
        <v>5</v>
      </c>
      <c r="K125" s="5">
        <v>27.4</v>
      </c>
      <c r="L125" t="s">
        <v>19</v>
      </c>
      <c r="M125" t="s">
        <v>30</v>
      </c>
    </row>
    <row r="126" spans="1:13" x14ac:dyDescent="0.3">
      <c r="A126" s="7" t="s">
        <v>218</v>
      </c>
      <c r="B126" s="8" t="s">
        <v>219</v>
      </c>
      <c r="C126" s="8" t="s">
        <v>35</v>
      </c>
      <c r="D126" s="8" t="s">
        <v>16</v>
      </c>
      <c r="E126" s="8" t="s">
        <v>17</v>
      </c>
      <c r="F126" s="8" t="s">
        <v>33</v>
      </c>
      <c r="G126" s="9">
        <v>5</v>
      </c>
      <c r="H126" s="10">
        <v>499</v>
      </c>
      <c r="I126" s="10">
        <v>2370.25</v>
      </c>
      <c r="J126" s="11">
        <v>5</v>
      </c>
      <c r="K126" s="12">
        <v>26</v>
      </c>
      <c r="L126" s="8" t="s">
        <v>19</v>
      </c>
      <c r="M126" s="8" t="s">
        <v>20</v>
      </c>
    </row>
    <row r="127" spans="1:13" x14ac:dyDescent="0.3">
      <c r="A127" s="2">
        <v>45116</v>
      </c>
      <c r="B127" t="s">
        <v>220</v>
      </c>
      <c r="C127" t="s">
        <v>23</v>
      </c>
      <c r="D127" t="s">
        <v>28</v>
      </c>
      <c r="E127" t="s">
        <v>24</v>
      </c>
      <c r="F127" t="s">
        <v>36</v>
      </c>
      <c r="G127" s="6">
        <v>4</v>
      </c>
      <c r="H127" s="3">
        <v>899</v>
      </c>
      <c r="I127" s="3">
        <v>3596</v>
      </c>
      <c r="J127" s="4">
        <v>0</v>
      </c>
      <c r="K127" s="5">
        <v>29.7</v>
      </c>
      <c r="L127" t="s">
        <v>19</v>
      </c>
      <c r="M127" t="s">
        <v>20</v>
      </c>
    </row>
    <row r="128" spans="1:13" x14ac:dyDescent="0.3">
      <c r="A128" s="7">
        <v>45055</v>
      </c>
      <c r="B128" s="8" t="s">
        <v>221</v>
      </c>
      <c r="C128" s="8" t="s">
        <v>35</v>
      </c>
      <c r="D128" s="8" t="s">
        <v>46</v>
      </c>
      <c r="E128" s="8" t="s">
        <v>24</v>
      </c>
      <c r="F128" s="8" t="s">
        <v>36</v>
      </c>
      <c r="G128" s="9">
        <v>1</v>
      </c>
      <c r="H128" s="10">
        <v>899</v>
      </c>
      <c r="I128" s="10">
        <v>854.05</v>
      </c>
      <c r="J128" s="11">
        <v>5</v>
      </c>
      <c r="K128" s="12">
        <v>30.4</v>
      </c>
      <c r="L128" s="8" t="s">
        <v>19</v>
      </c>
      <c r="M128" s="8" t="s">
        <v>20</v>
      </c>
    </row>
    <row r="129" spans="1:13" x14ac:dyDescent="0.3">
      <c r="A129" s="2" t="s">
        <v>58</v>
      </c>
      <c r="B129" t="s">
        <v>222</v>
      </c>
      <c r="C129" t="s">
        <v>35</v>
      </c>
      <c r="D129" t="s">
        <v>46</v>
      </c>
      <c r="E129" t="s">
        <v>17</v>
      </c>
      <c r="F129" t="s">
        <v>18</v>
      </c>
      <c r="G129" s="6">
        <v>2</v>
      </c>
      <c r="H129" s="3">
        <v>799</v>
      </c>
      <c r="I129" s="3">
        <v>1598</v>
      </c>
      <c r="J129" s="4">
        <v>0</v>
      </c>
      <c r="K129" s="5">
        <v>26.7</v>
      </c>
      <c r="L129" t="s">
        <v>40</v>
      </c>
      <c r="M129" t="s">
        <v>30</v>
      </c>
    </row>
    <row r="130" spans="1:13" x14ac:dyDescent="0.3">
      <c r="A130" s="7">
        <v>45027</v>
      </c>
      <c r="B130" s="8" t="s">
        <v>223</v>
      </c>
      <c r="C130" s="8" t="s">
        <v>35</v>
      </c>
      <c r="D130" s="8" t="s">
        <v>16</v>
      </c>
      <c r="E130" s="8" t="s">
        <v>24</v>
      </c>
      <c r="F130" s="8" t="s">
        <v>36</v>
      </c>
      <c r="G130" s="9">
        <v>4</v>
      </c>
      <c r="H130" s="10">
        <v>899</v>
      </c>
      <c r="I130" s="10">
        <v>3596</v>
      </c>
      <c r="J130" s="11">
        <v>0</v>
      </c>
      <c r="K130" s="12">
        <v>33.799999999999997</v>
      </c>
      <c r="L130" s="8" t="s">
        <v>19</v>
      </c>
      <c r="M130" s="8" t="s">
        <v>20</v>
      </c>
    </row>
    <row r="131" spans="1:13" x14ac:dyDescent="0.3">
      <c r="A131" s="2" t="s">
        <v>224</v>
      </c>
      <c r="B131" t="s">
        <v>225</v>
      </c>
      <c r="C131" t="s">
        <v>23</v>
      </c>
      <c r="D131" t="s">
        <v>28</v>
      </c>
      <c r="E131" t="s">
        <v>17</v>
      </c>
      <c r="F131" t="s">
        <v>33</v>
      </c>
      <c r="G131" s="6">
        <v>1</v>
      </c>
      <c r="H131" s="3">
        <v>499</v>
      </c>
      <c r="I131" s="3">
        <v>499</v>
      </c>
      <c r="J131" s="4">
        <v>0</v>
      </c>
      <c r="K131" s="5">
        <v>34.9</v>
      </c>
      <c r="L131" t="s">
        <v>19</v>
      </c>
      <c r="M131" t="s">
        <v>30</v>
      </c>
    </row>
    <row r="132" spans="1:13" x14ac:dyDescent="0.3">
      <c r="A132" s="7">
        <v>44938</v>
      </c>
      <c r="B132" s="8" t="s">
        <v>226</v>
      </c>
      <c r="C132" s="8" t="s">
        <v>15</v>
      </c>
      <c r="D132" s="8" t="s">
        <v>16</v>
      </c>
      <c r="E132" s="8" t="s">
        <v>17</v>
      </c>
      <c r="F132" s="8" t="s">
        <v>18</v>
      </c>
      <c r="G132" s="9">
        <v>4</v>
      </c>
      <c r="H132" s="10">
        <v>799</v>
      </c>
      <c r="I132" s="10">
        <v>3036.2</v>
      </c>
      <c r="J132" s="11">
        <v>5</v>
      </c>
      <c r="K132" s="12">
        <v>33.700000000000003</v>
      </c>
      <c r="L132" s="8" t="s">
        <v>19</v>
      </c>
      <c r="M132" s="8" t="s">
        <v>20</v>
      </c>
    </row>
    <row r="133" spans="1:13" x14ac:dyDescent="0.3">
      <c r="A133" s="2" t="s">
        <v>227</v>
      </c>
      <c r="B133" t="s">
        <v>228</v>
      </c>
      <c r="C133" t="s">
        <v>23</v>
      </c>
      <c r="D133" t="s">
        <v>46</v>
      </c>
      <c r="E133" t="s">
        <v>24</v>
      </c>
      <c r="F133" t="s">
        <v>25</v>
      </c>
      <c r="G133" s="6">
        <v>3</v>
      </c>
      <c r="H133" s="3">
        <v>1299</v>
      </c>
      <c r="I133" s="3">
        <v>3702.15</v>
      </c>
      <c r="J133" s="4">
        <v>5</v>
      </c>
      <c r="K133" s="5">
        <v>34.799999999999997</v>
      </c>
      <c r="L133" t="s">
        <v>19</v>
      </c>
      <c r="M133" t="s">
        <v>20</v>
      </c>
    </row>
    <row r="134" spans="1:13" x14ac:dyDescent="0.3">
      <c r="A134" s="7" t="s">
        <v>188</v>
      </c>
      <c r="B134" s="8" t="s">
        <v>229</v>
      </c>
      <c r="C134" s="8" t="s">
        <v>23</v>
      </c>
      <c r="D134" s="8" t="s">
        <v>16</v>
      </c>
      <c r="E134" s="8" t="s">
        <v>24</v>
      </c>
      <c r="F134" s="8" t="s">
        <v>36</v>
      </c>
      <c r="G134" s="9">
        <v>4</v>
      </c>
      <c r="H134" s="10">
        <v>899</v>
      </c>
      <c r="I134" s="10">
        <v>3416.2</v>
      </c>
      <c r="J134" s="11">
        <v>5</v>
      </c>
      <c r="K134" s="12">
        <v>31.9</v>
      </c>
      <c r="L134" s="8" t="s">
        <v>19</v>
      </c>
      <c r="M134" s="8" t="s">
        <v>30</v>
      </c>
    </row>
    <row r="135" spans="1:13" x14ac:dyDescent="0.3">
      <c r="A135" s="2" t="s">
        <v>157</v>
      </c>
      <c r="B135" t="s">
        <v>230</v>
      </c>
      <c r="C135" t="s">
        <v>23</v>
      </c>
      <c r="D135" t="s">
        <v>46</v>
      </c>
      <c r="E135" t="s">
        <v>24</v>
      </c>
      <c r="F135" t="s">
        <v>29</v>
      </c>
      <c r="G135" s="6">
        <v>3</v>
      </c>
      <c r="H135" s="3">
        <v>449</v>
      </c>
      <c r="I135" s="3">
        <v>1279.6500000000001</v>
      </c>
      <c r="J135" s="4">
        <v>5</v>
      </c>
      <c r="K135" s="5">
        <v>31.1</v>
      </c>
      <c r="L135" t="s">
        <v>19</v>
      </c>
      <c r="M135" t="s">
        <v>30</v>
      </c>
    </row>
    <row r="136" spans="1:13" x14ac:dyDescent="0.3">
      <c r="A136" s="7" t="s">
        <v>231</v>
      </c>
      <c r="B136" s="8" t="s">
        <v>232</v>
      </c>
      <c r="C136" s="8" t="s">
        <v>15</v>
      </c>
      <c r="D136" s="8" t="s">
        <v>28</v>
      </c>
      <c r="E136" s="8" t="s">
        <v>24</v>
      </c>
      <c r="F136" s="8" t="s">
        <v>25</v>
      </c>
      <c r="G136" s="9">
        <v>5</v>
      </c>
      <c r="H136" s="10">
        <v>1299</v>
      </c>
      <c r="I136" s="10">
        <v>6495</v>
      </c>
      <c r="J136" s="11">
        <v>0</v>
      </c>
      <c r="K136" s="12">
        <v>34.299999999999997</v>
      </c>
      <c r="L136" s="8" t="s">
        <v>40</v>
      </c>
      <c r="M136" s="8" t="s">
        <v>30</v>
      </c>
    </row>
    <row r="137" spans="1:13" x14ac:dyDescent="0.3">
      <c r="A137" s="2">
        <v>45052</v>
      </c>
      <c r="B137" t="s">
        <v>233</v>
      </c>
      <c r="C137" t="s">
        <v>35</v>
      </c>
      <c r="D137" t="s">
        <v>28</v>
      </c>
      <c r="E137" t="s">
        <v>24</v>
      </c>
      <c r="F137" t="s">
        <v>25</v>
      </c>
      <c r="G137" s="6">
        <v>3</v>
      </c>
      <c r="H137" s="3">
        <v>1299</v>
      </c>
      <c r="I137" s="3">
        <v>3897</v>
      </c>
      <c r="J137" s="4">
        <v>0</v>
      </c>
      <c r="K137" s="5">
        <v>31</v>
      </c>
      <c r="L137" t="s">
        <v>19</v>
      </c>
      <c r="M137" t="s">
        <v>20</v>
      </c>
    </row>
    <row r="138" spans="1:13" x14ac:dyDescent="0.3">
      <c r="A138" s="7">
        <v>45206</v>
      </c>
      <c r="B138" s="8" t="s">
        <v>234</v>
      </c>
      <c r="C138" s="8" t="s">
        <v>15</v>
      </c>
      <c r="D138" s="8" t="s">
        <v>46</v>
      </c>
      <c r="E138" s="8" t="s">
        <v>17</v>
      </c>
      <c r="F138" s="8" t="s">
        <v>53</v>
      </c>
      <c r="G138" s="9">
        <v>1</v>
      </c>
      <c r="H138" s="10">
        <v>179</v>
      </c>
      <c r="I138" s="10">
        <v>179</v>
      </c>
      <c r="J138" s="11">
        <v>0</v>
      </c>
      <c r="K138" s="12">
        <v>33.799999999999997</v>
      </c>
      <c r="L138" s="8" t="s">
        <v>40</v>
      </c>
      <c r="M138" s="8" t="s">
        <v>20</v>
      </c>
    </row>
    <row r="139" spans="1:13" x14ac:dyDescent="0.3">
      <c r="A139" s="2">
        <v>45023</v>
      </c>
      <c r="B139" t="s">
        <v>235</v>
      </c>
      <c r="C139" t="s">
        <v>35</v>
      </c>
      <c r="D139" t="s">
        <v>28</v>
      </c>
      <c r="E139" t="s">
        <v>24</v>
      </c>
      <c r="F139" t="s">
        <v>36</v>
      </c>
      <c r="G139" s="6">
        <v>2</v>
      </c>
      <c r="H139" s="3">
        <v>899</v>
      </c>
      <c r="I139" s="3">
        <v>1798</v>
      </c>
      <c r="J139" s="4">
        <v>0</v>
      </c>
      <c r="K139" s="5">
        <v>30.2</v>
      </c>
      <c r="L139" t="s">
        <v>19</v>
      </c>
      <c r="M139" t="s">
        <v>30</v>
      </c>
    </row>
    <row r="140" spans="1:13" x14ac:dyDescent="0.3">
      <c r="A140" s="7">
        <v>45234</v>
      </c>
      <c r="B140" s="8" t="s">
        <v>236</v>
      </c>
      <c r="C140" s="8" t="s">
        <v>23</v>
      </c>
      <c r="D140" s="8" t="s">
        <v>28</v>
      </c>
      <c r="E140" s="8" t="s">
        <v>24</v>
      </c>
      <c r="F140" s="8" t="s">
        <v>36</v>
      </c>
      <c r="G140" s="9">
        <v>1</v>
      </c>
      <c r="H140" s="10">
        <v>899</v>
      </c>
      <c r="I140" s="10">
        <v>899</v>
      </c>
      <c r="J140" s="11">
        <v>0</v>
      </c>
      <c r="K140" s="12">
        <v>30.3</v>
      </c>
      <c r="L140" s="8" t="s">
        <v>19</v>
      </c>
      <c r="M140" s="8" t="s">
        <v>30</v>
      </c>
    </row>
    <row r="141" spans="1:13" x14ac:dyDescent="0.3">
      <c r="A141" s="2">
        <v>45050</v>
      </c>
      <c r="B141" t="s">
        <v>237</v>
      </c>
      <c r="C141" t="s">
        <v>35</v>
      </c>
      <c r="D141" t="s">
        <v>28</v>
      </c>
      <c r="E141" t="s">
        <v>17</v>
      </c>
      <c r="F141" t="s">
        <v>33</v>
      </c>
      <c r="G141" s="6">
        <v>4</v>
      </c>
      <c r="H141" s="3">
        <v>499</v>
      </c>
      <c r="I141" s="3">
        <v>1996</v>
      </c>
      <c r="J141" s="4">
        <v>0</v>
      </c>
      <c r="K141" s="5">
        <v>28.1</v>
      </c>
      <c r="L141" t="s">
        <v>19</v>
      </c>
      <c r="M141" t="s">
        <v>20</v>
      </c>
    </row>
    <row r="142" spans="1:13" x14ac:dyDescent="0.3">
      <c r="A142" s="7" t="s">
        <v>238</v>
      </c>
      <c r="B142" s="8" t="s">
        <v>239</v>
      </c>
      <c r="C142" s="8" t="s">
        <v>35</v>
      </c>
      <c r="D142" s="8" t="s">
        <v>28</v>
      </c>
      <c r="E142" s="8" t="s">
        <v>24</v>
      </c>
      <c r="F142" s="8" t="s">
        <v>29</v>
      </c>
      <c r="G142" s="9">
        <v>5</v>
      </c>
      <c r="H142" s="10">
        <v>449</v>
      </c>
      <c r="I142" s="10">
        <v>2245</v>
      </c>
      <c r="J142" s="11">
        <v>0</v>
      </c>
      <c r="K142" s="12">
        <v>26.7</v>
      </c>
      <c r="L142" s="8" t="s">
        <v>19</v>
      </c>
      <c r="M142" s="8" t="s">
        <v>20</v>
      </c>
    </row>
    <row r="143" spans="1:13" x14ac:dyDescent="0.3">
      <c r="A143" s="2">
        <v>45266</v>
      </c>
      <c r="B143" t="s">
        <v>240</v>
      </c>
      <c r="C143" t="s">
        <v>23</v>
      </c>
      <c r="D143" t="s">
        <v>16</v>
      </c>
      <c r="E143" t="s">
        <v>17</v>
      </c>
      <c r="F143" t="s">
        <v>53</v>
      </c>
      <c r="G143" s="6">
        <v>4</v>
      </c>
      <c r="H143" s="3">
        <v>179</v>
      </c>
      <c r="I143" s="3">
        <v>716</v>
      </c>
      <c r="J143" s="4">
        <v>0</v>
      </c>
      <c r="K143" s="5">
        <v>29.6</v>
      </c>
      <c r="L143" t="s">
        <v>48</v>
      </c>
      <c r="M143" t="s">
        <v>30</v>
      </c>
    </row>
    <row r="144" spans="1:13" x14ac:dyDescent="0.3">
      <c r="A144" s="7" t="s">
        <v>146</v>
      </c>
      <c r="B144" s="8" t="s">
        <v>241</v>
      </c>
      <c r="C144" s="8" t="s">
        <v>35</v>
      </c>
      <c r="D144" s="8" t="s">
        <v>28</v>
      </c>
      <c r="E144" s="8" t="s">
        <v>24</v>
      </c>
      <c r="F144" s="8" t="s">
        <v>25</v>
      </c>
      <c r="G144" s="9">
        <v>5</v>
      </c>
      <c r="H144" s="10">
        <v>1299</v>
      </c>
      <c r="I144" s="10">
        <v>6170.25</v>
      </c>
      <c r="J144" s="11">
        <v>5</v>
      </c>
      <c r="K144" s="12">
        <v>32.4</v>
      </c>
      <c r="L144" s="8" t="s">
        <v>19</v>
      </c>
      <c r="M144" s="8" t="s">
        <v>30</v>
      </c>
    </row>
    <row r="145" spans="1:13" x14ac:dyDescent="0.3">
      <c r="A145" s="2" t="s">
        <v>242</v>
      </c>
      <c r="B145" t="s">
        <v>243</v>
      </c>
      <c r="C145" t="s">
        <v>35</v>
      </c>
      <c r="D145" t="s">
        <v>16</v>
      </c>
      <c r="E145" t="s">
        <v>17</v>
      </c>
      <c r="F145" t="s">
        <v>18</v>
      </c>
      <c r="G145" s="6">
        <v>1</v>
      </c>
      <c r="H145" s="3">
        <v>799</v>
      </c>
      <c r="I145" s="3">
        <v>799</v>
      </c>
      <c r="J145" s="4">
        <v>0</v>
      </c>
      <c r="K145" s="5">
        <v>30.6</v>
      </c>
      <c r="L145" t="s">
        <v>48</v>
      </c>
      <c r="M145" t="s">
        <v>20</v>
      </c>
    </row>
    <row r="146" spans="1:13" x14ac:dyDescent="0.3">
      <c r="A146" s="7">
        <v>44932</v>
      </c>
      <c r="B146" s="8" t="s">
        <v>244</v>
      </c>
      <c r="C146" s="8" t="s">
        <v>15</v>
      </c>
      <c r="D146" s="8" t="s">
        <v>28</v>
      </c>
      <c r="E146" s="8" t="s">
        <v>24</v>
      </c>
      <c r="F146" s="8" t="s">
        <v>29</v>
      </c>
      <c r="G146" s="9">
        <v>3</v>
      </c>
      <c r="H146" s="10">
        <v>449</v>
      </c>
      <c r="I146" s="10">
        <v>1347</v>
      </c>
      <c r="J146" s="11">
        <v>0</v>
      </c>
      <c r="K146" s="12">
        <v>34.9</v>
      </c>
      <c r="L146" s="8" t="s">
        <v>19</v>
      </c>
      <c r="M146" s="8" t="s">
        <v>20</v>
      </c>
    </row>
    <row r="147" spans="1:13" x14ac:dyDescent="0.3">
      <c r="A147" s="2" t="s">
        <v>245</v>
      </c>
      <c r="B147" t="s">
        <v>246</v>
      </c>
      <c r="C147" t="s">
        <v>35</v>
      </c>
      <c r="D147" t="s">
        <v>16</v>
      </c>
      <c r="E147" t="s">
        <v>24</v>
      </c>
      <c r="F147" t="s">
        <v>36</v>
      </c>
      <c r="G147" s="6">
        <v>1</v>
      </c>
      <c r="H147" s="3">
        <v>899</v>
      </c>
      <c r="I147" s="3">
        <v>899</v>
      </c>
      <c r="J147" s="4">
        <v>0</v>
      </c>
      <c r="K147" s="5">
        <v>28.9</v>
      </c>
      <c r="L147" t="s">
        <v>19</v>
      </c>
      <c r="M147" t="s">
        <v>30</v>
      </c>
    </row>
    <row r="148" spans="1:13" x14ac:dyDescent="0.3">
      <c r="A148" s="7" t="s">
        <v>247</v>
      </c>
      <c r="B148" s="8" t="s">
        <v>248</v>
      </c>
      <c r="C148" s="8" t="s">
        <v>23</v>
      </c>
      <c r="D148" s="8" t="s">
        <v>16</v>
      </c>
      <c r="E148" s="8" t="s">
        <v>24</v>
      </c>
      <c r="F148" s="8" t="s">
        <v>36</v>
      </c>
      <c r="G148" s="9">
        <v>5</v>
      </c>
      <c r="H148" s="10">
        <v>899</v>
      </c>
      <c r="I148" s="10">
        <v>4270.25</v>
      </c>
      <c r="J148" s="11">
        <v>5</v>
      </c>
      <c r="K148" s="12">
        <v>25.3</v>
      </c>
      <c r="L148" s="8" t="s">
        <v>19</v>
      </c>
      <c r="M148" s="8" t="s">
        <v>30</v>
      </c>
    </row>
    <row r="149" spans="1:13" x14ac:dyDescent="0.3">
      <c r="A149" s="2">
        <v>44932</v>
      </c>
      <c r="B149" t="s">
        <v>249</v>
      </c>
      <c r="C149" t="s">
        <v>15</v>
      </c>
      <c r="D149" t="s">
        <v>28</v>
      </c>
      <c r="E149" t="s">
        <v>17</v>
      </c>
      <c r="F149" t="s">
        <v>53</v>
      </c>
      <c r="G149" s="6">
        <v>5</v>
      </c>
      <c r="H149" s="3">
        <v>179</v>
      </c>
      <c r="I149" s="3">
        <v>895</v>
      </c>
      <c r="J149" s="4">
        <v>0</v>
      </c>
      <c r="K149" s="5">
        <v>27.8</v>
      </c>
      <c r="L149" t="s">
        <v>48</v>
      </c>
      <c r="M149" t="s">
        <v>30</v>
      </c>
    </row>
    <row r="150" spans="1:13" x14ac:dyDescent="0.3">
      <c r="A150" s="7" t="s">
        <v>250</v>
      </c>
      <c r="B150" s="8" t="s">
        <v>251</v>
      </c>
      <c r="C150" s="8" t="s">
        <v>15</v>
      </c>
      <c r="D150" s="8" t="s">
        <v>16</v>
      </c>
      <c r="E150" s="8" t="s">
        <v>17</v>
      </c>
      <c r="F150" s="8" t="s">
        <v>33</v>
      </c>
      <c r="G150" s="9">
        <v>3</v>
      </c>
      <c r="H150" s="10">
        <v>499</v>
      </c>
      <c r="I150" s="10">
        <v>1497</v>
      </c>
      <c r="J150" s="11">
        <v>0</v>
      </c>
      <c r="K150" s="12">
        <v>30.7</v>
      </c>
      <c r="L150" s="8" t="s">
        <v>48</v>
      </c>
      <c r="M150" s="8" t="s">
        <v>20</v>
      </c>
    </row>
    <row r="151" spans="1:13" x14ac:dyDescent="0.3">
      <c r="A151" s="2">
        <v>45177</v>
      </c>
      <c r="B151" t="s">
        <v>252</v>
      </c>
      <c r="C151" t="s">
        <v>23</v>
      </c>
      <c r="D151" t="s">
        <v>46</v>
      </c>
      <c r="E151" t="s">
        <v>17</v>
      </c>
      <c r="F151" t="s">
        <v>33</v>
      </c>
      <c r="G151" s="6">
        <v>3</v>
      </c>
      <c r="H151" s="3">
        <v>499</v>
      </c>
      <c r="I151" s="3">
        <v>1497</v>
      </c>
      <c r="J151" s="4">
        <v>0</v>
      </c>
      <c r="K151" s="5">
        <v>30.4</v>
      </c>
      <c r="L151" t="s">
        <v>19</v>
      </c>
      <c r="M151" t="s">
        <v>20</v>
      </c>
    </row>
    <row r="152" spans="1:13" x14ac:dyDescent="0.3">
      <c r="A152" s="7">
        <v>44937</v>
      </c>
      <c r="B152" s="8" t="s">
        <v>253</v>
      </c>
      <c r="C152" s="8" t="s">
        <v>35</v>
      </c>
      <c r="D152" s="8" t="s">
        <v>46</v>
      </c>
      <c r="E152" s="8" t="s">
        <v>17</v>
      </c>
      <c r="F152" s="8" t="s">
        <v>18</v>
      </c>
      <c r="G152" s="9">
        <v>5</v>
      </c>
      <c r="H152" s="10">
        <v>799</v>
      </c>
      <c r="I152" s="10">
        <v>3995</v>
      </c>
      <c r="J152" s="11">
        <v>0</v>
      </c>
      <c r="K152" s="12">
        <v>30.7</v>
      </c>
      <c r="L152" s="8" t="s">
        <v>19</v>
      </c>
      <c r="M152" s="8" t="s">
        <v>20</v>
      </c>
    </row>
    <row r="153" spans="1:13" x14ac:dyDescent="0.3">
      <c r="A153" s="2">
        <v>45024</v>
      </c>
      <c r="B153" t="s">
        <v>254</v>
      </c>
      <c r="C153" t="s">
        <v>23</v>
      </c>
      <c r="D153" t="s">
        <v>28</v>
      </c>
      <c r="E153" t="s">
        <v>17</v>
      </c>
      <c r="F153" t="s">
        <v>33</v>
      </c>
      <c r="G153" s="6">
        <v>5</v>
      </c>
      <c r="H153" s="3">
        <v>499</v>
      </c>
      <c r="I153" s="3">
        <v>2495</v>
      </c>
      <c r="J153" s="4">
        <v>0</v>
      </c>
      <c r="K153" s="5">
        <v>30.9</v>
      </c>
      <c r="L153" t="s">
        <v>19</v>
      </c>
      <c r="M153" t="s">
        <v>30</v>
      </c>
    </row>
    <row r="154" spans="1:13" x14ac:dyDescent="0.3">
      <c r="A154" s="7">
        <v>45115</v>
      </c>
      <c r="B154" s="8" t="s">
        <v>255</v>
      </c>
      <c r="C154" s="8" t="s">
        <v>23</v>
      </c>
      <c r="D154" s="8" t="s">
        <v>28</v>
      </c>
      <c r="E154" s="8" t="s">
        <v>17</v>
      </c>
      <c r="F154" s="8" t="s">
        <v>33</v>
      </c>
      <c r="G154" s="9">
        <v>5</v>
      </c>
      <c r="H154" s="10">
        <v>499</v>
      </c>
      <c r="I154" s="10">
        <v>2495</v>
      </c>
      <c r="J154" s="11">
        <v>0</v>
      </c>
      <c r="K154" s="12">
        <v>26.4</v>
      </c>
      <c r="L154" s="8" t="s">
        <v>19</v>
      </c>
      <c r="M154" s="8" t="s">
        <v>30</v>
      </c>
    </row>
    <row r="155" spans="1:13" x14ac:dyDescent="0.3">
      <c r="A155" s="2">
        <v>44938</v>
      </c>
      <c r="B155" t="s">
        <v>256</v>
      </c>
      <c r="C155" t="s">
        <v>23</v>
      </c>
      <c r="D155" t="s">
        <v>16</v>
      </c>
      <c r="E155" t="s">
        <v>24</v>
      </c>
      <c r="F155" t="s">
        <v>29</v>
      </c>
      <c r="G155" s="6">
        <v>2</v>
      </c>
      <c r="H155" s="3">
        <v>449</v>
      </c>
      <c r="I155" s="3">
        <v>853.1</v>
      </c>
      <c r="J155" s="4">
        <v>5</v>
      </c>
      <c r="K155" s="5">
        <v>29.9</v>
      </c>
      <c r="L155" t="s">
        <v>19</v>
      </c>
      <c r="M155" t="s">
        <v>20</v>
      </c>
    </row>
    <row r="156" spans="1:13" x14ac:dyDescent="0.3">
      <c r="A156" s="7" t="s">
        <v>257</v>
      </c>
      <c r="B156" s="8" t="s">
        <v>258</v>
      </c>
      <c r="C156" s="8" t="s">
        <v>35</v>
      </c>
      <c r="D156" s="8" t="s">
        <v>28</v>
      </c>
      <c r="E156" s="8" t="s">
        <v>17</v>
      </c>
      <c r="F156" s="8" t="s">
        <v>33</v>
      </c>
      <c r="G156" s="9">
        <v>4</v>
      </c>
      <c r="H156" s="10">
        <v>499</v>
      </c>
      <c r="I156" s="10">
        <v>1896.2</v>
      </c>
      <c r="J156" s="11">
        <v>5</v>
      </c>
      <c r="K156" s="12">
        <v>33.299999999999997</v>
      </c>
      <c r="L156" s="8" t="s">
        <v>19</v>
      </c>
      <c r="M156" s="8" t="s">
        <v>20</v>
      </c>
    </row>
    <row r="157" spans="1:13" x14ac:dyDescent="0.3">
      <c r="A157" s="2" t="s">
        <v>259</v>
      </c>
      <c r="B157" t="s">
        <v>260</v>
      </c>
      <c r="C157" t="s">
        <v>23</v>
      </c>
      <c r="D157" t="s">
        <v>16</v>
      </c>
      <c r="E157" t="s">
        <v>24</v>
      </c>
      <c r="F157" t="s">
        <v>36</v>
      </c>
      <c r="G157" s="6">
        <v>4</v>
      </c>
      <c r="H157" s="3">
        <v>899</v>
      </c>
      <c r="I157" s="3">
        <v>3596</v>
      </c>
      <c r="J157" s="4">
        <v>0</v>
      </c>
      <c r="K157" s="5">
        <v>34.299999999999997</v>
      </c>
      <c r="L157" t="s">
        <v>19</v>
      </c>
      <c r="M157" t="s">
        <v>20</v>
      </c>
    </row>
    <row r="158" spans="1:13" x14ac:dyDescent="0.3">
      <c r="A158" s="7" t="s">
        <v>261</v>
      </c>
      <c r="B158" s="8" t="s">
        <v>262</v>
      </c>
      <c r="C158" s="8" t="s">
        <v>35</v>
      </c>
      <c r="D158" s="8" t="s">
        <v>46</v>
      </c>
      <c r="E158" s="8" t="s">
        <v>17</v>
      </c>
      <c r="F158" s="8" t="s">
        <v>53</v>
      </c>
      <c r="G158" s="9">
        <v>5</v>
      </c>
      <c r="H158" s="10">
        <v>179</v>
      </c>
      <c r="I158" s="10">
        <v>850.25</v>
      </c>
      <c r="J158" s="11">
        <v>5</v>
      </c>
      <c r="K158" s="12">
        <v>31.5</v>
      </c>
      <c r="L158" s="8" t="s">
        <v>19</v>
      </c>
      <c r="M158" s="8" t="s">
        <v>20</v>
      </c>
    </row>
    <row r="159" spans="1:13" x14ac:dyDescent="0.3">
      <c r="A159" s="2">
        <v>44988</v>
      </c>
      <c r="B159" t="s">
        <v>263</v>
      </c>
      <c r="C159" t="s">
        <v>23</v>
      </c>
      <c r="D159" t="s">
        <v>28</v>
      </c>
      <c r="E159" t="s">
        <v>24</v>
      </c>
      <c r="F159" t="s">
        <v>36</v>
      </c>
      <c r="G159" s="6">
        <v>4</v>
      </c>
      <c r="H159" s="3">
        <v>899</v>
      </c>
      <c r="I159" s="3">
        <v>3596</v>
      </c>
      <c r="J159" s="4">
        <v>0</v>
      </c>
      <c r="K159" s="5">
        <v>27.8</v>
      </c>
      <c r="L159" t="s">
        <v>19</v>
      </c>
      <c r="M159" t="s">
        <v>30</v>
      </c>
    </row>
    <row r="160" spans="1:13" x14ac:dyDescent="0.3">
      <c r="A160" s="7" t="s">
        <v>264</v>
      </c>
      <c r="B160" s="8" t="s">
        <v>265</v>
      </c>
      <c r="C160" s="8" t="s">
        <v>35</v>
      </c>
      <c r="D160" s="8" t="s">
        <v>16</v>
      </c>
      <c r="E160" s="8" t="s">
        <v>17</v>
      </c>
      <c r="F160" s="8" t="s">
        <v>53</v>
      </c>
      <c r="G160" s="9">
        <v>3</v>
      </c>
      <c r="H160" s="10">
        <v>179</v>
      </c>
      <c r="I160" s="10">
        <v>537</v>
      </c>
      <c r="J160" s="11">
        <v>0</v>
      </c>
      <c r="K160" s="12">
        <v>32.9</v>
      </c>
      <c r="L160" s="8" t="s">
        <v>40</v>
      </c>
      <c r="M160" s="8" t="s">
        <v>30</v>
      </c>
    </row>
    <row r="161" spans="1:13" x14ac:dyDescent="0.3">
      <c r="A161" s="2">
        <v>45051</v>
      </c>
      <c r="B161" t="s">
        <v>266</v>
      </c>
      <c r="C161" t="s">
        <v>23</v>
      </c>
      <c r="D161" t="s">
        <v>28</v>
      </c>
      <c r="E161" t="s">
        <v>17</v>
      </c>
      <c r="F161" t="s">
        <v>33</v>
      </c>
      <c r="G161" s="6">
        <v>3</v>
      </c>
      <c r="H161" s="3">
        <v>499</v>
      </c>
      <c r="I161" s="3">
        <v>1422.15</v>
      </c>
      <c r="J161" s="4">
        <v>5</v>
      </c>
      <c r="K161" s="5">
        <v>33.799999999999997</v>
      </c>
      <c r="L161" t="s">
        <v>48</v>
      </c>
      <c r="M161" t="s">
        <v>20</v>
      </c>
    </row>
    <row r="162" spans="1:13" x14ac:dyDescent="0.3">
      <c r="A162" s="7" t="s">
        <v>267</v>
      </c>
      <c r="B162" s="8" t="s">
        <v>268</v>
      </c>
      <c r="C162" s="8" t="s">
        <v>23</v>
      </c>
      <c r="D162" s="8" t="s">
        <v>46</v>
      </c>
      <c r="E162" s="8" t="s">
        <v>17</v>
      </c>
      <c r="F162" s="8" t="s">
        <v>18</v>
      </c>
      <c r="G162" s="9">
        <v>2</v>
      </c>
      <c r="H162" s="10">
        <v>799</v>
      </c>
      <c r="I162" s="10">
        <v>1598</v>
      </c>
      <c r="J162" s="11">
        <v>0</v>
      </c>
      <c r="K162" s="12">
        <v>30</v>
      </c>
      <c r="L162" s="8" t="s">
        <v>40</v>
      </c>
      <c r="M162" s="8" t="s">
        <v>20</v>
      </c>
    </row>
    <row r="163" spans="1:13" x14ac:dyDescent="0.3">
      <c r="A163" s="2" t="s">
        <v>269</v>
      </c>
      <c r="B163" t="s">
        <v>270</v>
      </c>
      <c r="C163" t="s">
        <v>35</v>
      </c>
      <c r="D163" t="s">
        <v>16</v>
      </c>
      <c r="E163" t="s">
        <v>17</v>
      </c>
      <c r="F163" t="s">
        <v>33</v>
      </c>
      <c r="G163" s="6">
        <v>3</v>
      </c>
      <c r="H163" s="3">
        <v>499</v>
      </c>
      <c r="I163" s="3">
        <v>1497</v>
      </c>
      <c r="J163" s="4">
        <v>0</v>
      </c>
      <c r="K163" s="5">
        <v>31.6</v>
      </c>
      <c r="L163" t="s">
        <v>19</v>
      </c>
      <c r="M163" t="s">
        <v>30</v>
      </c>
    </row>
    <row r="164" spans="1:13" x14ac:dyDescent="0.3">
      <c r="A164" s="7" t="s">
        <v>271</v>
      </c>
      <c r="B164" s="8" t="s">
        <v>272</v>
      </c>
      <c r="C164" s="8" t="s">
        <v>23</v>
      </c>
      <c r="D164" s="8" t="s">
        <v>28</v>
      </c>
      <c r="E164" s="8" t="s">
        <v>24</v>
      </c>
      <c r="F164" s="8" t="s">
        <v>25</v>
      </c>
      <c r="G164" s="9">
        <v>2</v>
      </c>
      <c r="H164" s="10">
        <v>1299</v>
      </c>
      <c r="I164" s="10">
        <v>2598</v>
      </c>
      <c r="J164" s="11">
        <v>0</v>
      </c>
      <c r="K164" s="12">
        <v>30.5</v>
      </c>
      <c r="L164" s="8" t="s">
        <v>40</v>
      </c>
      <c r="M164" s="8" t="s">
        <v>30</v>
      </c>
    </row>
    <row r="165" spans="1:13" x14ac:dyDescent="0.3">
      <c r="A165" s="2">
        <v>44933</v>
      </c>
      <c r="B165" t="s">
        <v>273</v>
      </c>
      <c r="C165" t="s">
        <v>23</v>
      </c>
      <c r="D165" t="s">
        <v>28</v>
      </c>
      <c r="E165" t="s">
        <v>17</v>
      </c>
      <c r="F165" t="s">
        <v>33</v>
      </c>
      <c r="G165" s="6">
        <v>3</v>
      </c>
      <c r="H165" s="3">
        <v>499</v>
      </c>
      <c r="I165" s="3">
        <v>1422.15</v>
      </c>
      <c r="J165" s="4">
        <v>5</v>
      </c>
      <c r="K165" s="5">
        <v>29.2</v>
      </c>
      <c r="L165" t="s">
        <v>19</v>
      </c>
      <c r="M165" t="s">
        <v>30</v>
      </c>
    </row>
    <row r="166" spans="1:13" x14ac:dyDescent="0.3">
      <c r="A166" s="7" t="s">
        <v>274</v>
      </c>
      <c r="B166" s="8" t="s">
        <v>275</v>
      </c>
      <c r="C166" s="8" t="s">
        <v>23</v>
      </c>
      <c r="D166" s="8" t="s">
        <v>28</v>
      </c>
      <c r="E166" s="8" t="s">
        <v>24</v>
      </c>
      <c r="F166" s="8" t="s">
        <v>36</v>
      </c>
      <c r="G166" s="9">
        <v>2</v>
      </c>
      <c r="H166" s="10">
        <v>899</v>
      </c>
      <c r="I166" s="10">
        <v>1798</v>
      </c>
      <c r="J166" s="11">
        <v>0</v>
      </c>
      <c r="K166" s="12">
        <v>33.4</v>
      </c>
      <c r="L166" s="8" t="s">
        <v>19</v>
      </c>
      <c r="M166" s="8" t="s">
        <v>30</v>
      </c>
    </row>
    <row r="167" spans="1:13" x14ac:dyDescent="0.3">
      <c r="A167" s="2" t="s">
        <v>276</v>
      </c>
      <c r="B167" t="s">
        <v>277</v>
      </c>
      <c r="C167" t="s">
        <v>23</v>
      </c>
      <c r="D167" t="s">
        <v>16</v>
      </c>
      <c r="E167" t="s">
        <v>17</v>
      </c>
      <c r="F167" t="s">
        <v>18</v>
      </c>
      <c r="G167" s="6">
        <v>1</v>
      </c>
      <c r="H167" s="3">
        <v>799</v>
      </c>
      <c r="I167" s="3">
        <v>799</v>
      </c>
      <c r="J167" s="4">
        <v>0</v>
      </c>
      <c r="K167" s="5">
        <v>31</v>
      </c>
      <c r="L167" t="s">
        <v>19</v>
      </c>
      <c r="M167" t="s">
        <v>20</v>
      </c>
    </row>
    <row r="168" spans="1:13" x14ac:dyDescent="0.3">
      <c r="A168" s="7" t="s">
        <v>278</v>
      </c>
      <c r="B168" s="8" t="s">
        <v>279</v>
      </c>
      <c r="C168" s="8" t="s">
        <v>23</v>
      </c>
      <c r="D168" s="8" t="s">
        <v>46</v>
      </c>
      <c r="E168" s="8" t="s">
        <v>24</v>
      </c>
      <c r="F168" s="8" t="s">
        <v>36</v>
      </c>
      <c r="G168" s="9">
        <v>4</v>
      </c>
      <c r="H168" s="10">
        <v>899</v>
      </c>
      <c r="I168" s="10">
        <v>3416.2</v>
      </c>
      <c r="J168" s="11">
        <v>5</v>
      </c>
      <c r="K168" s="12">
        <v>28.3</v>
      </c>
      <c r="L168" s="8" t="s">
        <v>48</v>
      </c>
      <c r="M168" s="8" t="s">
        <v>30</v>
      </c>
    </row>
    <row r="169" spans="1:13" x14ac:dyDescent="0.3">
      <c r="A169" s="2">
        <v>44927</v>
      </c>
      <c r="B169" t="s">
        <v>280</v>
      </c>
      <c r="C169" t="s">
        <v>35</v>
      </c>
      <c r="D169" t="s">
        <v>28</v>
      </c>
      <c r="E169" t="s">
        <v>17</v>
      </c>
      <c r="F169" t="s">
        <v>18</v>
      </c>
      <c r="G169" s="6">
        <v>2</v>
      </c>
      <c r="H169" s="3">
        <v>799</v>
      </c>
      <c r="I169" s="3">
        <v>1598</v>
      </c>
      <c r="J169" s="4">
        <v>0</v>
      </c>
      <c r="K169" s="5">
        <v>31</v>
      </c>
      <c r="L169" t="s">
        <v>19</v>
      </c>
      <c r="M169" t="s">
        <v>20</v>
      </c>
    </row>
    <row r="170" spans="1:13" x14ac:dyDescent="0.3">
      <c r="A170" s="7" t="s">
        <v>165</v>
      </c>
      <c r="B170" s="8" t="s">
        <v>281</v>
      </c>
      <c r="C170" s="8" t="s">
        <v>23</v>
      </c>
      <c r="D170" s="8" t="s">
        <v>28</v>
      </c>
      <c r="E170" s="8" t="s">
        <v>17</v>
      </c>
      <c r="F170" s="8" t="s">
        <v>33</v>
      </c>
      <c r="G170" s="9">
        <v>2</v>
      </c>
      <c r="H170" s="10">
        <v>499</v>
      </c>
      <c r="I170" s="10">
        <v>998</v>
      </c>
      <c r="J170" s="11">
        <v>0</v>
      </c>
      <c r="K170" s="12">
        <v>25.7</v>
      </c>
      <c r="L170" s="8" t="s">
        <v>19</v>
      </c>
      <c r="M170" s="8" t="s">
        <v>30</v>
      </c>
    </row>
    <row r="171" spans="1:13" x14ac:dyDescent="0.3">
      <c r="A171" s="2">
        <v>45024</v>
      </c>
      <c r="B171" t="s">
        <v>282</v>
      </c>
      <c r="C171" t="s">
        <v>23</v>
      </c>
      <c r="D171" t="s">
        <v>16</v>
      </c>
      <c r="E171" t="s">
        <v>17</v>
      </c>
      <c r="F171" t="s">
        <v>33</v>
      </c>
      <c r="G171" s="6">
        <v>2</v>
      </c>
      <c r="H171" s="3">
        <v>499</v>
      </c>
      <c r="I171" s="3">
        <v>998</v>
      </c>
      <c r="J171" s="4">
        <v>0</v>
      </c>
      <c r="K171" s="5">
        <v>29.6</v>
      </c>
      <c r="L171" t="s">
        <v>19</v>
      </c>
      <c r="M171" t="s">
        <v>20</v>
      </c>
    </row>
    <row r="172" spans="1:13" x14ac:dyDescent="0.3">
      <c r="A172" s="7" t="s">
        <v>157</v>
      </c>
      <c r="B172" s="8" t="s">
        <v>283</v>
      </c>
      <c r="C172" s="8" t="s">
        <v>35</v>
      </c>
      <c r="D172" s="8" t="s">
        <v>28</v>
      </c>
      <c r="E172" s="8" t="s">
        <v>24</v>
      </c>
      <c r="F172" s="8" t="s">
        <v>25</v>
      </c>
      <c r="G172" s="9">
        <v>2</v>
      </c>
      <c r="H172" s="10">
        <v>1299</v>
      </c>
      <c r="I172" s="10">
        <v>2598</v>
      </c>
      <c r="J172" s="11">
        <v>0</v>
      </c>
      <c r="K172" s="12">
        <v>33.700000000000003</v>
      </c>
      <c r="L172" s="8" t="s">
        <v>48</v>
      </c>
      <c r="M172" s="8" t="s">
        <v>30</v>
      </c>
    </row>
    <row r="173" spans="1:13" x14ac:dyDescent="0.3">
      <c r="A173" s="2" t="s">
        <v>284</v>
      </c>
      <c r="B173" t="s">
        <v>285</v>
      </c>
      <c r="C173" t="s">
        <v>35</v>
      </c>
      <c r="D173" t="s">
        <v>28</v>
      </c>
      <c r="E173" t="s">
        <v>24</v>
      </c>
      <c r="F173" t="s">
        <v>25</v>
      </c>
      <c r="G173" s="6">
        <v>3</v>
      </c>
      <c r="H173" s="3">
        <v>1299</v>
      </c>
      <c r="I173" s="3">
        <v>3897</v>
      </c>
      <c r="J173" s="4">
        <v>0</v>
      </c>
      <c r="K173" s="5">
        <v>25.4</v>
      </c>
      <c r="L173" t="s">
        <v>19</v>
      </c>
      <c r="M173" t="s">
        <v>30</v>
      </c>
    </row>
    <row r="174" spans="1:13" x14ac:dyDescent="0.3">
      <c r="A174" s="7">
        <v>45150</v>
      </c>
      <c r="B174" s="8" t="s">
        <v>286</v>
      </c>
      <c r="C174" s="8" t="s">
        <v>35</v>
      </c>
      <c r="D174" s="8" t="s">
        <v>28</v>
      </c>
      <c r="E174" s="8" t="s">
        <v>24</v>
      </c>
      <c r="F174" s="8" t="s">
        <v>36</v>
      </c>
      <c r="G174" s="9">
        <v>5</v>
      </c>
      <c r="H174" s="10">
        <v>899</v>
      </c>
      <c r="I174" s="10">
        <v>4495</v>
      </c>
      <c r="J174" s="11">
        <v>0</v>
      </c>
      <c r="K174" s="12">
        <v>25.9</v>
      </c>
      <c r="L174" s="8" t="s">
        <v>19</v>
      </c>
      <c r="M174" s="8" t="s">
        <v>20</v>
      </c>
    </row>
    <row r="175" spans="1:13" x14ac:dyDescent="0.3">
      <c r="A175" s="2" t="s">
        <v>85</v>
      </c>
      <c r="B175" t="s">
        <v>287</v>
      </c>
      <c r="C175" t="s">
        <v>35</v>
      </c>
      <c r="D175" t="s">
        <v>16</v>
      </c>
      <c r="E175" t="s">
        <v>24</v>
      </c>
      <c r="F175" t="s">
        <v>25</v>
      </c>
      <c r="G175" s="6">
        <v>4</v>
      </c>
      <c r="H175" s="3">
        <v>1299</v>
      </c>
      <c r="I175" s="3">
        <v>4936.2</v>
      </c>
      <c r="J175" s="4">
        <v>5</v>
      </c>
      <c r="K175" s="5">
        <v>32</v>
      </c>
      <c r="L175" t="s">
        <v>19</v>
      </c>
      <c r="M175" t="s">
        <v>30</v>
      </c>
    </row>
    <row r="176" spans="1:13" x14ac:dyDescent="0.3">
      <c r="A176" s="7" t="s">
        <v>227</v>
      </c>
      <c r="B176" s="8" t="s">
        <v>288</v>
      </c>
      <c r="C176" s="8" t="s">
        <v>23</v>
      </c>
      <c r="D176" s="8" t="s">
        <v>28</v>
      </c>
      <c r="E176" s="8" t="s">
        <v>17</v>
      </c>
      <c r="F176" s="8" t="s">
        <v>33</v>
      </c>
      <c r="G176" s="9">
        <v>4</v>
      </c>
      <c r="H176" s="10">
        <v>499</v>
      </c>
      <c r="I176" s="10">
        <v>1896.2</v>
      </c>
      <c r="J176" s="11">
        <v>5</v>
      </c>
      <c r="K176" s="12">
        <v>32.200000000000003</v>
      </c>
      <c r="L176" s="8" t="s">
        <v>19</v>
      </c>
      <c r="M176" s="8" t="s">
        <v>20</v>
      </c>
    </row>
    <row r="177" spans="1:13" x14ac:dyDescent="0.3">
      <c r="A177" s="2" t="s">
        <v>289</v>
      </c>
      <c r="B177" t="s">
        <v>290</v>
      </c>
      <c r="C177" t="s">
        <v>35</v>
      </c>
      <c r="D177" t="s">
        <v>16</v>
      </c>
      <c r="E177" t="s">
        <v>17</v>
      </c>
      <c r="F177" t="s">
        <v>18</v>
      </c>
      <c r="G177" s="6">
        <v>1</v>
      </c>
      <c r="H177" s="3">
        <v>799</v>
      </c>
      <c r="I177" s="3">
        <v>799</v>
      </c>
      <c r="J177" s="4">
        <v>0</v>
      </c>
      <c r="K177" s="5">
        <v>32.4</v>
      </c>
      <c r="L177" t="s">
        <v>19</v>
      </c>
      <c r="M177" t="s">
        <v>30</v>
      </c>
    </row>
    <row r="178" spans="1:13" x14ac:dyDescent="0.3">
      <c r="A178" s="7">
        <v>44933</v>
      </c>
      <c r="B178" s="8" t="s">
        <v>291</v>
      </c>
      <c r="C178" s="8" t="s">
        <v>35</v>
      </c>
      <c r="D178" s="8" t="s">
        <v>16</v>
      </c>
      <c r="E178" s="8" t="s">
        <v>17</v>
      </c>
      <c r="F178" s="8" t="s">
        <v>53</v>
      </c>
      <c r="G178" s="9">
        <v>2</v>
      </c>
      <c r="H178" s="10">
        <v>179</v>
      </c>
      <c r="I178" s="10">
        <v>358</v>
      </c>
      <c r="J178" s="11">
        <v>0</v>
      </c>
      <c r="K178" s="12">
        <v>28.5</v>
      </c>
      <c r="L178" s="8" t="s">
        <v>19</v>
      </c>
      <c r="M178" s="8" t="s">
        <v>20</v>
      </c>
    </row>
    <row r="179" spans="1:13" x14ac:dyDescent="0.3">
      <c r="A179" s="2" t="s">
        <v>118</v>
      </c>
      <c r="B179" t="s">
        <v>292</v>
      </c>
      <c r="C179" t="s">
        <v>23</v>
      </c>
      <c r="D179" t="s">
        <v>16</v>
      </c>
      <c r="E179" t="s">
        <v>24</v>
      </c>
      <c r="F179" t="s">
        <v>25</v>
      </c>
      <c r="G179" s="6">
        <v>3</v>
      </c>
      <c r="H179" s="3">
        <v>1299</v>
      </c>
      <c r="I179" s="3">
        <v>3897</v>
      </c>
      <c r="J179" s="4">
        <v>0</v>
      </c>
      <c r="K179" s="5">
        <v>31.8</v>
      </c>
      <c r="L179" t="s">
        <v>19</v>
      </c>
      <c r="M179" t="s">
        <v>30</v>
      </c>
    </row>
    <row r="180" spans="1:13" x14ac:dyDescent="0.3">
      <c r="A180" s="7" t="s">
        <v>293</v>
      </c>
      <c r="B180" s="8" t="s">
        <v>294</v>
      </c>
      <c r="C180" s="8" t="s">
        <v>35</v>
      </c>
      <c r="D180" s="8" t="s">
        <v>16</v>
      </c>
      <c r="E180" s="8" t="s">
        <v>24</v>
      </c>
      <c r="F180" s="8" t="s">
        <v>25</v>
      </c>
      <c r="G180" s="9">
        <v>3</v>
      </c>
      <c r="H180" s="10">
        <v>1299</v>
      </c>
      <c r="I180" s="10">
        <v>3897</v>
      </c>
      <c r="J180" s="11">
        <v>0</v>
      </c>
      <c r="K180" s="12">
        <v>33.299999999999997</v>
      </c>
      <c r="L180" s="8" t="s">
        <v>40</v>
      </c>
      <c r="M180" s="8" t="s">
        <v>20</v>
      </c>
    </row>
    <row r="181" spans="1:13" x14ac:dyDescent="0.3">
      <c r="A181" s="2" t="s">
        <v>58</v>
      </c>
      <c r="B181" t="s">
        <v>295</v>
      </c>
      <c r="C181" t="s">
        <v>35</v>
      </c>
      <c r="D181" t="s">
        <v>28</v>
      </c>
      <c r="E181" t="s">
        <v>17</v>
      </c>
      <c r="F181" t="s">
        <v>33</v>
      </c>
      <c r="G181" s="6">
        <v>3</v>
      </c>
      <c r="H181" s="3">
        <v>499</v>
      </c>
      <c r="I181" s="3">
        <v>1497</v>
      </c>
      <c r="J181" s="4">
        <v>0</v>
      </c>
      <c r="K181" s="5">
        <v>27.9</v>
      </c>
      <c r="L181" t="s">
        <v>40</v>
      </c>
      <c r="M181" t="s">
        <v>30</v>
      </c>
    </row>
    <row r="182" spans="1:13" x14ac:dyDescent="0.3">
      <c r="A182" s="7">
        <v>45053</v>
      </c>
      <c r="B182" s="8" t="s">
        <v>296</v>
      </c>
      <c r="C182" s="8" t="s">
        <v>23</v>
      </c>
      <c r="D182" s="8" t="s">
        <v>46</v>
      </c>
      <c r="E182" s="8" t="s">
        <v>24</v>
      </c>
      <c r="F182" s="8" t="s">
        <v>36</v>
      </c>
      <c r="G182" s="9">
        <v>3</v>
      </c>
      <c r="H182" s="10">
        <v>899</v>
      </c>
      <c r="I182" s="10">
        <v>2697</v>
      </c>
      <c r="J182" s="11">
        <v>0</v>
      </c>
      <c r="K182" s="12">
        <v>34.200000000000003</v>
      </c>
      <c r="L182" s="8" t="s">
        <v>19</v>
      </c>
      <c r="M182" s="8" t="s">
        <v>30</v>
      </c>
    </row>
    <row r="183" spans="1:13" x14ac:dyDescent="0.3">
      <c r="A183" s="2" t="s">
        <v>297</v>
      </c>
      <c r="B183" t="s">
        <v>298</v>
      </c>
      <c r="C183" t="s">
        <v>23</v>
      </c>
      <c r="D183" t="s">
        <v>16</v>
      </c>
      <c r="E183" t="s">
        <v>17</v>
      </c>
      <c r="F183" t="s">
        <v>18</v>
      </c>
      <c r="G183" s="6">
        <v>1</v>
      </c>
      <c r="H183" s="3">
        <v>799</v>
      </c>
      <c r="I183" s="3">
        <v>799</v>
      </c>
      <c r="J183" s="4">
        <v>0</v>
      </c>
      <c r="K183" s="5">
        <v>25.4</v>
      </c>
      <c r="L183" t="s">
        <v>19</v>
      </c>
      <c r="M183" t="s">
        <v>30</v>
      </c>
    </row>
    <row r="184" spans="1:13" x14ac:dyDescent="0.3">
      <c r="A184" s="7">
        <v>44964</v>
      </c>
      <c r="B184" s="8" t="s">
        <v>299</v>
      </c>
      <c r="C184" s="8" t="s">
        <v>35</v>
      </c>
      <c r="D184" s="8" t="s">
        <v>28</v>
      </c>
      <c r="E184" s="8" t="s">
        <v>24</v>
      </c>
      <c r="F184" s="8" t="s">
        <v>25</v>
      </c>
      <c r="G184" s="9">
        <v>2</v>
      </c>
      <c r="H184" s="10">
        <v>1299</v>
      </c>
      <c r="I184" s="10">
        <v>2598</v>
      </c>
      <c r="J184" s="11">
        <v>0</v>
      </c>
      <c r="K184" s="12">
        <v>34.700000000000003</v>
      </c>
      <c r="L184" s="8" t="s">
        <v>40</v>
      </c>
      <c r="M184" s="8" t="s">
        <v>30</v>
      </c>
    </row>
    <row r="185" spans="1:13" x14ac:dyDescent="0.3">
      <c r="A185" s="2">
        <v>45146</v>
      </c>
      <c r="B185" t="s">
        <v>300</v>
      </c>
      <c r="C185" t="s">
        <v>23</v>
      </c>
      <c r="D185" t="s">
        <v>28</v>
      </c>
      <c r="E185" t="s">
        <v>24</v>
      </c>
      <c r="F185" t="s">
        <v>36</v>
      </c>
      <c r="G185" s="6">
        <v>1</v>
      </c>
      <c r="H185" s="3">
        <v>899</v>
      </c>
      <c r="I185" s="3">
        <v>899</v>
      </c>
      <c r="J185" s="4">
        <v>0</v>
      </c>
      <c r="K185" s="5">
        <v>27</v>
      </c>
      <c r="L185" t="s">
        <v>19</v>
      </c>
      <c r="M185" t="s">
        <v>30</v>
      </c>
    </row>
    <row r="186" spans="1:13" x14ac:dyDescent="0.3">
      <c r="A186" s="7" t="s">
        <v>301</v>
      </c>
      <c r="B186" s="8" t="s">
        <v>302</v>
      </c>
      <c r="C186" s="8" t="s">
        <v>23</v>
      </c>
      <c r="D186" s="8" t="s">
        <v>46</v>
      </c>
      <c r="E186" s="8" t="s">
        <v>24</v>
      </c>
      <c r="F186" s="8" t="s">
        <v>36</v>
      </c>
      <c r="G186" s="9">
        <v>3</v>
      </c>
      <c r="H186" s="10">
        <v>899</v>
      </c>
      <c r="I186" s="10">
        <v>2697</v>
      </c>
      <c r="J186" s="11">
        <v>0</v>
      </c>
      <c r="K186" s="12">
        <v>31.6</v>
      </c>
      <c r="L186" s="8" t="s">
        <v>19</v>
      </c>
      <c r="M186" s="8" t="s">
        <v>20</v>
      </c>
    </row>
    <row r="187" spans="1:13" x14ac:dyDescent="0.3">
      <c r="A187" s="2">
        <v>45048</v>
      </c>
      <c r="B187" t="s">
        <v>303</v>
      </c>
      <c r="C187" t="s">
        <v>23</v>
      </c>
      <c r="D187" t="s">
        <v>28</v>
      </c>
      <c r="E187" t="s">
        <v>17</v>
      </c>
      <c r="F187" t="s">
        <v>53</v>
      </c>
      <c r="G187" s="6">
        <v>1</v>
      </c>
      <c r="H187" s="3">
        <v>179</v>
      </c>
      <c r="I187" s="3">
        <v>170.05</v>
      </c>
      <c r="J187" s="4">
        <v>5</v>
      </c>
      <c r="K187" s="5">
        <v>34.799999999999997</v>
      </c>
      <c r="L187" t="s">
        <v>19</v>
      </c>
      <c r="M187" t="s">
        <v>30</v>
      </c>
    </row>
    <row r="188" spans="1:13" x14ac:dyDescent="0.3">
      <c r="A188" s="7" t="s">
        <v>304</v>
      </c>
      <c r="B188" s="8" t="s">
        <v>305</v>
      </c>
      <c r="C188" s="8" t="s">
        <v>35</v>
      </c>
      <c r="D188" s="8" t="s">
        <v>28</v>
      </c>
      <c r="E188" s="8" t="s">
        <v>17</v>
      </c>
      <c r="F188" s="8" t="s">
        <v>18</v>
      </c>
      <c r="G188" s="9">
        <v>5</v>
      </c>
      <c r="H188" s="10">
        <v>799</v>
      </c>
      <c r="I188" s="10">
        <v>3995</v>
      </c>
      <c r="J188" s="11">
        <v>0</v>
      </c>
      <c r="K188" s="12">
        <v>27</v>
      </c>
      <c r="L188" s="8" t="s">
        <v>48</v>
      </c>
      <c r="M188" s="8" t="s">
        <v>30</v>
      </c>
    </row>
    <row r="189" spans="1:13" x14ac:dyDescent="0.3">
      <c r="A189" s="2" t="s">
        <v>306</v>
      </c>
      <c r="B189" t="s">
        <v>307</v>
      </c>
      <c r="C189" t="s">
        <v>35</v>
      </c>
      <c r="D189" t="s">
        <v>16</v>
      </c>
      <c r="E189" t="s">
        <v>17</v>
      </c>
      <c r="F189" t="s">
        <v>53</v>
      </c>
      <c r="G189" s="6">
        <v>1</v>
      </c>
      <c r="H189" s="3">
        <v>179</v>
      </c>
      <c r="I189" s="3">
        <v>170.05</v>
      </c>
      <c r="J189" s="4">
        <v>5</v>
      </c>
      <c r="K189" s="5">
        <v>28.4</v>
      </c>
      <c r="L189" t="s">
        <v>19</v>
      </c>
      <c r="M189" t="s">
        <v>20</v>
      </c>
    </row>
    <row r="190" spans="1:13" x14ac:dyDescent="0.3">
      <c r="A190" s="7" t="s">
        <v>169</v>
      </c>
      <c r="B190" s="8" t="s">
        <v>308</v>
      </c>
      <c r="C190" s="8" t="s">
        <v>35</v>
      </c>
      <c r="D190" s="8" t="s">
        <v>46</v>
      </c>
      <c r="E190" s="8" t="s">
        <v>24</v>
      </c>
      <c r="F190" s="8" t="s">
        <v>36</v>
      </c>
      <c r="G190" s="9">
        <v>4</v>
      </c>
      <c r="H190" s="10">
        <v>899</v>
      </c>
      <c r="I190" s="10">
        <v>3596</v>
      </c>
      <c r="J190" s="11">
        <v>0</v>
      </c>
      <c r="K190" s="12">
        <v>26.2</v>
      </c>
      <c r="L190" s="8" t="s">
        <v>19</v>
      </c>
      <c r="M190" s="8" t="s">
        <v>30</v>
      </c>
    </row>
    <row r="191" spans="1:13" x14ac:dyDescent="0.3">
      <c r="A191" s="2" t="s">
        <v>309</v>
      </c>
      <c r="B191" t="s">
        <v>310</v>
      </c>
      <c r="C191" t="s">
        <v>35</v>
      </c>
      <c r="D191" t="s">
        <v>46</v>
      </c>
      <c r="E191" t="s">
        <v>17</v>
      </c>
      <c r="F191" t="s">
        <v>18</v>
      </c>
      <c r="G191" s="6">
        <v>3</v>
      </c>
      <c r="H191" s="3">
        <v>799</v>
      </c>
      <c r="I191" s="3">
        <v>2277.15</v>
      </c>
      <c r="J191" s="4">
        <v>5</v>
      </c>
      <c r="K191" s="5">
        <v>31.7</v>
      </c>
      <c r="L191" t="s">
        <v>19</v>
      </c>
      <c r="M191" t="s">
        <v>30</v>
      </c>
    </row>
    <row r="192" spans="1:13" x14ac:dyDescent="0.3">
      <c r="A192" s="7" t="s">
        <v>127</v>
      </c>
      <c r="B192" s="8" t="s">
        <v>311</v>
      </c>
      <c r="C192" s="8" t="s">
        <v>15</v>
      </c>
      <c r="D192" s="8" t="s">
        <v>28</v>
      </c>
      <c r="E192" s="8" t="s">
        <v>17</v>
      </c>
      <c r="F192" s="8" t="s">
        <v>18</v>
      </c>
      <c r="G192" s="9">
        <v>4</v>
      </c>
      <c r="H192" s="10">
        <v>799</v>
      </c>
      <c r="I192" s="10">
        <v>3196</v>
      </c>
      <c r="J192" s="11">
        <v>0</v>
      </c>
      <c r="K192" s="12">
        <v>27.3</v>
      </c>
      <c r="L192" s="8" t="s">
        <v>19</v>
      </c>
      <c r="M192" s="8" t="s">
        <v>30</v>
      </c>
    </row>
    <row r="193" spans="1:13" x14ac:dyDescent="0.3">
      <c r="A193" s="2" t="s">
        <v>312</v>
      </c>
      <c r="B193" t="s">
        <v>313</v>
      </c>
      <c r="C193" t="s">
        <v>35</v>
      </c>
      <c r="D193" t="s">
        <v>28</v>
      </c>
      <c r="E193" t="s">
        <v>24</v>
      </c>
      <c r="F193" t="s">
        <v>36</v>
      </c>
      <c r="G193" s="6">
        <v>2</v>
      </c>
      <c r="H193" s="3">
        <v>899</v>
      </c>
      <c r="I193" s="3">
        <v>1708.1</v>
      </c>
      <c r="J193" s="4">
        <v>5</v>
      </c>
      <c r="K193" s="5">
        <v>32.4</v>
      </c>
      <c r="L193" t="s">
        <v>19</v>
      </c>
      <c r="M193" t="s">
        <v>30</v>
      </c>
    </row>
    <row r="194" spans="1:13" x14ac:dyDescent="0.3">
      <c r="A194" s="7" t="s">
        <v>314</v>
      </c>
      <c r="B194" s="8" t="s">
        <v>315</v>
      </c>
      <c r="C194" s="8" t="s">
        <v>15</v>
      </c>
      <c r="D194" s="8" t="s">
        <v>28</v>
      </c>
      <c r="E194" s="8" t="s">
        <v>17</v>
      </c>
      <c r="F194" s="8" t="s">
        <v>18</v>
      </c>
      <c r="G194" s="9">
        <v>2</v>
      </c>
      <c r="H194" s="10">
        <v>799</v>
      </c>
      <c r="I194" s="10">
        <v>1598</v>
      </c>
      <c r="J194" s="11">
        <v>0</v>
      </c>
      <c r="K194" s="12">
        <v>28</v>
      </c>
      <c r="L194" s="8" t="s">
        <v>40</v>
      </c>
      <c r="M194" s="8" t="s">
        <v>20</v>
      </c>
    </row>
    <row r="195" spans="1:13" x14ac:dyDescent="0.3">
      <c r="A195" s="2">
        <v>45022</v>
      </c>
      <c r="B195" t="s">
        <v>316</v>
      </c>
      <c r="C195" t="s">
        <v>35</v>
      </c>
      <c r="D195" t="s">
        <v>16</v>
      </c>
      <c r="E195" t="s">
        <v>17</v>
      </c>
      <c r="F195" t="s">
        <v>33</v>
      </c>
      <c r="G195" s="6">
        <v>4</v>
      </c>
      <c r="H195" s="3">
        <v>499</v>
      </c>
      <c r="I195" s="3">
        <v>1996</v>
      </c>
      <c r="J195" s="4">
        <v>0</v>
      </c>
      <c r="K195" s="5">
        <v>29.9</v>
      </c>
      <c r="L195" t="s">
        <v>40</v>
      </c>
      <c r="M195" t="s">
        <v>30</v>
      </c>
    </row>
    <row r="196" spans="1:13" x14ac:dyDescent="0.3">
      <c r="A196" s="7">
        <v>45265</v>
      </c>
      <c r="B196" s="8" t="s">
        <v>317</v>
      </c>
      <c r="C196" s="8" t="s">
        <v>23</v>
      </c>
      <c r="D196" s="8" t="s">
        <v>16</v>
      </c>
      <c r="E196" s="8" t="s">
        <v>24</v>
      </c>
      <c r="F196" s="8" t="s">
        <v>25</v>
      </c>
      <c r="G196" s="9">
        <v>5</v>
      </c>
      <c r="H196" s="10">
        <v>1299</v>
      </c>
      <c r="I196" s="10">
        <v>6170.25</v>
      </c>
      <c r="J196" s="11">
        <v>5</v>
      </c>
      <c r="K196" s="12">
        <v>27.5</v>
      </c>
      <c r="L196" s="8" t="s">
        <v>48</v>
      </c>
      <c r="M196" s="8" t="s">
        <v>20</v>
      </c>
    </row>
    <row r="197" spans="1:13" x14ac:dyDescent="0.3">
      <c r="A197" s="2">
        <v>45049</v>
      </c>
      <c r="B197" t="s">
        <v>318</v>
      </c>
      <c r="C197" t="s">
        <v>23</v>
      </c>
      <c r="D197" t="s">
        <v>16</v>
      </c>
      <c r="E197" t="s">
        <v>17</v>
      </c>
      <c r="F197" t="s">
        <v>18</v>
      </c>
      <c r="G197" s="6">
        <v>4</v>
      </c>
      <c r="H197" s="3">
        <v>799</v>
      </c>
      <c r="I197" s="3">
        <v>3196</v>
      </c>
      <c r="J197" s="4">
        <v>0</v>
      </c>
      <c r="K197" s="5">
        <v>30.2</v>
      </c>
      <c r="L197" t="s">
        <v>19</v>
      </c>
      <c r="M197" t="s">
        <v>20</v>
      </c>
    </row>
    <row r="198" spans="1:13" x14ac:dyDescent="0.3">
      <c r="A198" s="7">
        <v>45027</v>
      </c>
      <c r="B198" s="8" t="s">
        <v>319</v>
      </c>
      <c r="C198" s="8" t="s">
        <v>35</v>
      </c>
      <c r="D198" s="8" t="s">
        <v>28</v>
      </c>
      <c r="E198" s="8" t="s">
        <v>24</v>
      </c>
      <c r="F198" s="8" t="s">
        <v>25</v>
      </c>
      <c r="G198" s="9">
        <v>2</v>
      </c>
      <c r="H198" s="10">
        <v>1299</v>
      </c>
      <c r="I198" s="10">
        <v>2468.1</v>
      </c>
      <c r="J198" s="11">
        <v>5</v>
      </c>
      <c r="K198" s="12">
        <v>30.3</v>
      </c>
      <c r="L198" s="8" t="s">
        <v>40</v>
      </c>
      <c r="M198" s="8" t="s">
        <v>20</v>
      </c>
    </row>
    <row r="199" spans="1:13" x14ac:dyDescent="0.3">
      <c r="A199" s="2" t="s">
        <v>320</v>
      </c>
      <c r="B199" t="s">
        <v>321</v>
      </c>
      <c r="C199" t="s">
        <v>15</v>
      </c>
      <c r="D199" t="s">
        <v>28</v>
      </c>
      <c r="E199" t="s">
        <v>17</v>
      </c>
      <c r="F199" t="s">
        <v>18</v>
      </c>
      <c r="G199" s="6">
        <v>1</v>
      </c>
      <c r="H199" s="3">
        <v>799</v>
      </c>
      <c r="I199" s="3">
        <v>799</v>
      </c>
      <c r="J199" s="4">
        <v>0</v>
      </c>
      <c r="K199" s="5">
        <v>30.9</v>
      </c>
      <c r="L199" t="s">
        <v>40</v>
      </c>
      <c r="M199" t="s">
        <v>30</v>
      </c>
    </row>
    <row r="200" spans="1:13" x14ac:dyDescent="0.3">
      <c r="A200" s="7" t="s">
        <v>322</v>
      </c>
      <c r="B200" s="8" t="s">
        <v>323</v>
      </c>
      <c r="C200" s="8" t="s">
        <v>35</v>
      </c>
      <c r="D200" s="8" t="s">
        <v>16</v>
      </c>
      <c r="E200" s="8" t="s">
        <v>24</v>
      </c>
      <c r="F200" s="8" t="s">
        <v>29</v>
      </c>
      <c r="G200" s="9">
        <v>1</v>
      </c>
      <c r="H200" s="10">
        <v>449</v>
      </c>
      <c r="I200" s="10">
        <v>449</v>
      </c>
      <c r="J200" s="11">
        <v>0</v>
      </c>
      <c r="K200" s="12">
        <v>30.9</v>
      </c>
      <c r="L200" s="8" t="s">
        <v>19</v>
      </c>
      <c r="M200" s="8" t="s">
        <v>20</v>
      </c>
    </row>
    <row r="201" spans="1:13" x14ac:dyDescent="0.3">
      <c r="A201" s="2" t="s">
        <v>324</v>
      </c>
      <c r="B201" t="s">
        <v>325</v>
      </c>
      <c r="C201" t="s">
        <v>23</v>
      </c>
      <c r="D201" t="s">
        <v>16</v>
      </c>
      <c r="E201" t="s">
        <v>17</v>
      </c>
      <c r="F201" t="s">
        <v>18</v>
      </c>
      <c r="G201" s="6">
        <v>2</v>
      </c>
      <c r="H201" s="3">
        <v>799</v>
      </c>
      <c r="I201" s="3">
        <v>1598</v>
      </c>
      <c r="J201" s="4">
        <v>0</v>
      </c>
      <c r="K201" s="5">
        <v>25.5</v>
      </c>
      <c r="L201" t="s">
        <v>19</v>
      </c>
      <c r="M201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2F4B-1A82-411A-8B28-689EBA0E00A1}">
  <dimension ref="A1:C28"/>
  <sheetViews>
    <sheetView workbookViewId="0"/>
  </sheetViews>
  <sheetFormatPr baseColWidth="10" defaultRowHeight="14.4" x14ac:dyDescent="0.3"/>
  <cols>
    <col min="1" max="1" width="51.6640625" bestFit="1" customWidth="1"/>
    <col min="2" max="2" width="26.5546875" bestFit="1" customWidth="1"/>
    <col min="3" max="3" width="40" bestFit="1" customWidth="1"/>
  </cols>
  <sheetData>
    <row r="1" spans="1:3" ht="18" x14ac:dyDescent="0.35">
      <c r="A1" s="13" t="s">
        <v>326</v>
      </c>
    </row>
    <row r="3" spans="1:3" ht="15.6" x14ac:dyDescent="0.3">
      <c r="A3" s="14" t="s">
        <v>327</v>
      </c>
      <c r="B3" s="15"/>
      <c r="C3" s="15"/>
    </row>
    <row r="4" spans="1:3" x14ac:dyDescent="0.3">
      <c r="A4" s="16" t="s">
        <v>328</v>
      </c>
      <c r="B4" s="16" t="s">
        <v>329</v>
      </c>
      <c r="C4" s="16" t="s">
        <v>330</v>
      </c>
    </row>
    <row r="5" spans="1:3" x14ac:dyDescent="0.3">
      <c r="A5" s="17" t="s">
        <v>0</v>
      </c>
      <c r="B5" s="17" t="s">
        <v>331</v>
      </c>
      <c r="C5" s="17" t="s">
        <v>332</v>
      </c>
    </row>
    <row r="6" spans="1:3" x14ac:dyDescent="0.3">
      <c r="A6" t="s">
        <v>1</v>
      </c>
      <c r="B6" t="s">
        <v>333</v>
      </c>
      <c r="C6" t="s">
        <v>334</v>
      </c>
    </row>
    <row r="7" spans="1:3" x14ac:dyDescent="0.3">
      <c r="A7" s="17" t="s">
        <v>2</v>
      </c>
      <c r="B7" s="17" t="s">
        <v>333</v>
      </c>
      <c r="C7" s="17" t="s">
        <v>335</v>
      </c>
    </row>
    <row r="8" spans="1:3" x14ac:dyDescent="0.3">
      <c r="A8" t="s">
        <v>3</v>
      </c>
      <c r="B8" t="s">
        <v>333</v>
      </c>
      <c r="C8" t="s">
        <v>336</v>
      </c>
    </row>
    <row r="9" spans="1:3" x14ac:dyDescent="0.3">
      <c r="A9" s="17" t="s">
        <v>4</v>
      </c>
      <c r="B9" s="17" t="s">
        <v>333</v>
      </c>
      <c r="C9" s="17" t="s">
        <v>337</v>
      </c>
    </row>
    <row r="10" spans="1:3" x14ac:dyDescent="0.3">
      <c r="A10" t="s">
        <v>5</v>
      </c>
      <c r="B10" t="s">
        <v>333</v>
      </c>
      <c r="C10" t="s">
        <v>338</v>
      </c>
    </row>
    <row r="11" spans="1:3" x14ac:dyDescent="0.3">
      <c r="A11" s="17" t="s">
        <v>6</v>
      </c>
      <c r="B11" s="17" t="s">
        <v>339</v>
      </c>
      <c r="C11" s="17" t="s">
        <v>340</v>
      </c>
    </row>
    <row r="12" spans="1:3" x14ac:dyDescent="0.3">
      <c r="A12" t="s">
        <v>7</v>
      </c>
      <c r="B12" t="s">
        <v>341</v>
      </c>
      <c r="C12" t="s">
        <v>342</v>
      </c>
    </row>
    <row r="13" spans="1:3" x14ac:dyDescent="0.3">
      <c r="A13" s="17" t="s">
        <v>8</v>
      </c>
      <c r="B13" s="17" t="s">
        <v>341</v>
      </c>
      <c r="C13" s="17" t="s">
        <v>343</v>
      </c>
    </row>
    <row r="14" spans="1:3" x14ac:dyDescent="0.3">
      <c r="A14" t="s">
        <v>9</v>
      </c>
      <c r="B14" t="s">
        <v>339</v>
      </c>
      <c r="C14" t="s">
        <v>344</v>
      </c>
    </row>
    <row r="15" spans="1:3" x14ac:dyDescent="0.3">
      <c r="A15" s="17" t="s">
        <v>10</v>
      </c>
      <c r="B15" s="17" t="s">
        <v>341</v>
      </c>
      <c r="C15" s="17" t="s">
        <v>345</v>
      </c>
    </row>
    <row r="16" spans="1:3" x14ac:dyDescent="0.3">
      <c r="A16" t="s">
        <v>11</v>
      </c>
      <c r="B16" t="s">
        <v>333</v>
      </c>
      <c r="C16" t="s">
        <v>346</v>
      </c>
    </row>
    <row r="17" spans="1:3" x14ac:dyDescent="0.3">
      <c r="A17" s="17" t="s">
        <v>12</v>
      </c>
      <c r="B17" s="17" t="s">
        <v>333</v>
      </c>
      <c r="C17" s="17" t="s">
        <v>347</v>
      </c>
    </row>
    <row r="19" spans="1:3" ht="15.6" x14ac:dyDescent="0.3">
      <c r="A19" s="14" t="s">
        <v>348</v>
      </c>
      <c r="B19" s="15"/>
      <c r="C19" s="15"/>
    </row>
    <row r="20" spans="1:3" x14ac:dyDescent="0.3">
      <c r="A20" s="16" t="s">
        <v>349</v>
      </c>
      <c r="B20" s="16" t="s">
        <v>350</v>
      </c>
      <c r="C20" s="16" t="s">
        <v>351</v>
      </c>
    </row>
    <row r="21" spans="1:3" x14ac:dyDescent="0.3">
      <c r="A21" s="17" t="s">
        <v>352</v>
      </c>
      <c r="B21" s="17" t="s">
        <v>353</v>
      </c>
      <c r="C21" s="17" t="s">
        <v>354</v>
      </c>
    </row>
    <row r="22" spans="1:3" x14ac:dyDescent="0.3">
      <c r="A22" t="s">
        <v>355</v>
      </c>
      <c r="B22" t="s">
        <v>353</v>
      </c>
      <c r="C22" t="s">
        <v>3</v>
      </c>
    </row>
    <row r="23" spans="1:3" x14ac:dyDescent="0.3">
      <c r="A23" s="17" t="s">
        <v>356</v>
      </c>
      <c r="B23" s="17" t="s">
        <v>357</v>
      </c>
      <c r="C23" s="17" t="s">
        <v>2</v>
      </c>
    </row>
    <row r="24" spans="1:3" x14ac:dyDescent="0.3">
      <c r="A24" t="s">
        <v>358</v>
      </c>
      <c r="B24" t="s">
        <v>359</v>
      </c>
      <c r="C24" t="s">
        <v>5</v>
      </c>
    </row>
    <row r="25" spans="1:3" x14ac:dyDescent="0.3">
      <c r="A25" s="17" t="s">
        <v>360</v>
      </c>
      <c r="B25" s="17" t="s">
        <v>361</v>
      </c>
      <c r="C25" s="17" t="s">
        <v>12</v>
      </c>
    </row>
    <row r="26" spans="1:3" x14ac:dyDescent="0.3">
      <c r="A26" t="s">
        <v>362</v>
      </c>
      <c r="B26" t="s">
        <v>363</v>
      </c>
      <c r="C26" t="s">
        <v>364</v>
      </c>
    </row>
    <row r="27" spans="1:3" x14ac:dyDescent="0.3">
      <c r="A27" s="17" t="s">
        <v>365</v>
      </c>
      <c r="B27" s="17" t="s">
        <v>366</v>
      </c>
      <c r="C27" s="17" t="s">
        <v>11</v>
      </c>
    </row>
    <row r="28" spans="1:3" x14ac:dyDescent="0.3">
      <c r="A28" t="s">
        <v>367</v>
      </c>
      <c r="B28" t="s">
        <v>368</v>
      </c>
      <c r="C28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Dashboard</vt:lpstr>
      <vt:lpstr>Ventes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puel</dc:creator>
  <cp:lastModifiedBy>ilham puel</cp:lastModifiedBy>
  <dcterms:created xsi:type="dcterms:W3CDTF">2026-03-22T15:08:39Z</dcterms:created>
  <dcterms:modified xsi:type="dcterms:W3CDTF">2026-03-22T17:39:18Z</dcterms:modified>
</cp:coreProperties>
</file>